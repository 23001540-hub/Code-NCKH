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ku_classification_results" sheetId="1" r:id="rId5"/>
    <sheet state="visible" name="Bảng tổng hợp 3" sheetId="2" r:id="rId6"/>
    <sheet state="visible" name="Bảng tổng hợp 2" sheetId="3" r:id="rId7"/>
    <sheet state="visible" name="Bảng tổng hợp 1" sheetId="4" r:id="rId8"/>
  </sheets>
  <definedNames>
    <definedName hidden="1" localSheetId="0" name="_xlnm._FilterDatabase">fsku_classification_results!$A$1:$C$1962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<sst xmlns="http://schemas.openxmlformats.org/spreadsheetml/2006/main" count="5700" uniqueCount="1982">
  <si>
    <t>fsku</t>
  </si>
  <si>
    <t>Tổng Sản Lượng</t>
  </si>
  <si>
    <t>Phân Nhóm</t>
  </si>
  <si>
    <t>Mô hình dự báo đề xuất</t>
  </si>
  <si>
    <t>Chạy mô hình</t>
  </si>
  <si>
    <t>Độ lệch rủi ro</t>
  </si>
  <si>
    <t>Số lượng nhập kho đề xuất</t>
  </si>
  <si>
    <t>Mức độ ưu tiên</t>
  </si>
  <si>
    <t xml:space="preserve"> </t>
  </si>
  <si>
    <t>02.L1.6060.7250</t>
  </si>
  <si>
    <t>Nhom 3: &lt; 3 thang</t>
  </si>
  <si>
    <t>Chỉ số đánh giá</t>
  </si>
  <si>
    <t>XGBoost (Nhóm 2)</t>
  </si>
  <si>
    <t>MA3 (Nhóm 1)</t>
  </si>
  <si>
    <t>Safety Stock (Nhóm 3)</t>
  </si>
  <si>
    <t>02.L1.6060.7341</t>
  </si>
  <si>
    <t>Số lượng SKU</t>
  </si>
  <si>
    <t>03.L1.3060.68416</t>
  </si>
  <si>
    <t>Tổng dự báo nhập</t>
  </si>
  <si>
    <t>03.L1.3060.7368</t>
  </si>
  <si>
    <t>Sai số trung bình</t>
  </si>
  <si>
    <t>05.L1.3060.USG36001</t>
  </si>
  <si>
    <t>05.L1.3060.USG36001D</t>
  </si>
  <si>
    <t>05.L1.3060.USG36001V</t>
  </si>
  <si>
    <t>05.L1.3060.USG36002</t>
  </si>
  <si>
    <t>05.L1.3060.USG36002V</t>
  </si>
  <si>
    <t>05.L1.3060.USG36003</t>
  </si>
  <si>
    <t>05.L1.3060.USG36003D</t>
  </si>
  <si>
    <t>05.L1.3060.USG36004</t>
  </si>
  <si>
    <t>05.L1.3060.USG36005</t>
  </si>
  <si>
    <t>05.L1.3060.USG36005D</t>
  </si>
  <si>
    <t>05.L1.3060.USG36006</t>
  </si>
  <si>
    <t>05.L1.3060.USG36009D</t>
  </si>
  <si>
    <t>05.L2.6060.IP6002</t>
  </si>
  <si>
    <t>05.L2.6060.IP6003</t>
  </si>
  <si>
    <t>05.L2.6060.IP6005</t>
  </si>
  <si>
    <t>05.L2.6060.IP6006</t>
  </si>
  <si>
    <t>05.L2.6060.IP6007</t>
  </si>
  <si>
    <t>05.L2.8080.IP8005</t>
  </si>
  <si>
    <t>05.L2.8080.IP8006</t>
  </si>
  <si>
    <t>10.L1.6060.6106</t>
  </si>
  <si>
    <t>10.L2.3060.4549</t>
  </si>
  <si>
    <t>10.L2.3060.4551</t>
  </si>
  <si>
    <t>10.L2.3060.4552</t>
  </si>
  <si>
    <t>10.L2.3060.4553</t>
  </si>
  <si>
    <t>10.L2.3060.4555</t>
  </si>
  <si>
    <t>10.L2.3060.4557</t>
  </si>
  <si>
    <t>10.L2.3060.4564</t>
  </si>
  <si>
    <t>10.L2.3060.4565</t>
  </si>
  <si>
    <t>10.L2.3060.4567</t>
  </si>
  <si>
    <t>10.L2.3060.4569</t>
  </si>
  <si>
    <t>10.L2.3060.5791</t>
  </si>
  <si>
    <t>10.L2.3060.5793</t>
  </si>
  <si>
    <t>10.L2.6060.5167</t>
  </si>
  <si>
    <t>10.L2.6060.5168</t>
  </si>
  <si>
    <t>10.L2.6060.5191</t>
  </si>
  <si>
    <t>10.L2.6060.5195</t>
  </si>
  <si>
    <t>10.L2.6060.5618</t>
  </si>
  <si>
    <t>10.L2.6060.6103</t>
  </si>
  <si>
    <t>10.L2.6060.6157</t>
  </si>
  <si>
    <t>10.L3.3060.4554</t>
  </si>
  <si>
    <t>10.L3.3060.4621</t>
  </si>
  <si>
    <t>10.L3.3060.4623</t>
  </si>
  <si>
    <t>10.L3.3060.4624</t>
  </si>
  <si>
    <t>10.L3.3060.4626</t>
  </si>
  <si>
    <t>10.L3.3060.4631</t>
  </si>
  <si>
    <t>10.L3.3060.4633</t>
  </si>
  <si>
    <t>10.L3.3060.5067</t>
  </si>
  <si>
    <t>12.L1.2550.U2540</t>
  </si>
  <si>
    <t>14.L1.1590.AF091973001</t>
  </si>
  <si>
    <t>14.L1.3060.36800V</t>
  </si>
  <si>
    <t>14.L1.3060.36801V</t>
  </si>
  <si>
    <t>14.L1.3060.36810</t>
  </si>
  <si>
    <t>14.L1.3060.A36610</t>
  </si>
  <si>
    <t>14.L1.3060.M36BL603</t>
  </si>
  <si>
    <t>14.L1.60120.61432051</t>
  </si>
  <si>
    <t>14.L1.60120.M61ST301</t>
  </si>
  <si>
    <t>14.L1.60120.US6861</t>
  </si>
  <si>
    <t>14.L1.6060.MS66199902</t>
  </si>
  <si>
    <t>14.L1.8012.BL81807</t>
  </si>
  <si>
    <t>14.L3.3060.A36822D</t>
  </si>
  <si>
    <t>14.L3.3060.A36AG403</t>
  </si>
  <si>
    <t>14.L3.6060.MS66199902</t>
  </si>
  <si>
    <t>14.L3.8080.AF10888008</t>
  </si>
  <si>
    <t>15.L2.6060.6601</t>
  </si>
  <si>
    <t>15.L2.6060.6602</t>
  </si>
  <si>
    <t>15.L3.6060.6601</t>
  </si>
  <si>
    <t>15.L3.6060.6602</t>
  </si>
  <si>
    <t>15.L3.6060.6604</t>
  </si>
  <si>
    <t>20.L1.5050.35101</t>
  </si>
  <si>
    <t>20.L1.5050.35102</t>
  </si>
  <si>
    <t>20.L1.5050.35111</t>
  </si>
  <si>
    <t>20.L1.5050.35112</t>
  </si>
  <si>
    <t>20.L1.8080.28908</t>
  </si>
  <si>
    <t>20.L1.8080.38903</t>
  </si>
  <si>
    <t>20.L1.8080.38908</t>
  </si>
  <si>
    <t>20.L1.8080.38909</t>
  </si>
  <si>
    <t>20.L1.8080.38910</t>
  </si>
  <si>
    <t>21.C1T0.DG.KSET.00</t>
  </si>
  <si>
    <t>21.C2TE.DG.ADESP9.01</t>
  </si>
  <si>
    <t>21.CG2WA.CR.SF.111</t>
  </si>
  <si>
    <t>21.CG2WA.CR.SF.112</t>
  </si>
  <si>
    <t>21.CG2WA.CR.SF.113</t>
  </si>
  <si>
    <t>21.CT.AQUAFLEXR77.W18</t>
  </si>
  <si>
    <t>25.L1.3060.FP3607</t>
  </si>
  <si>
    <t>25.L1.3060.FP936601D</t>
  </si>
  <si>
    <t>25.L1.3060.FP936602D</t>
  </si>
  <si>
    <t>25.L1.3060.FP936609D</t>
  </si>
  <si>
    <t>25.L1.6060.FP6604</t>
  </si>
  <si>
    <t>25.L1.6060.FPU6006</t>
  </si>
  <si>
    <t>25.L1.6060.FPU6010</t>
  </si>
  <si>
    <t>25.L1.6060.FPU6014</t>
  </si>
  <si>
    <t>25.L1.6060.FPU6018</t>
  </si>
  <si>
    <t>25.L1.8080.FP18607</t>
  </si>
  <si>
    <t>25.L1.8080.FPU188011</t>
  </si>
  <si>
    <t>25.L2.6060.FP96666</t>
  </si>
  <si>
    <t>26.L1.3060.C9806</t>
  </si>
  <si>
    <t>27.L1.6060.DIC6644</t>
  </si>
  <si>
    <t>29.L1.3060.FC3609T</t>
  </si>
  <si>
    <t>29.L1.3060.FC3619T</t>
  </si>
  <si>
    <t>29.L1.5050.FC5005</t>
  </si>
  <si>
    <t>29.L1.5050.FCU5516</t>
  </si>
  <si>
    <t>29.L2.8080.FPU188003</t>
  </si>
  <si>
    <t>29.L2.8080.FPU8007</t>
  </si>
  <si>
    <t>29.L2.8080.FPU8013</t>
  </si>
  <si>
    <t>36.L1.6060.N6002</t>
  </si>
  <si>
    <t>36.L1.8080.IP8002</t>
  </si>
  <si>
    <t>36.L2.3060.USC3603V</t>
  </si>
  <si>
    <t>36.L2.3060.USC3604D</t>
  </si>
  <si>
    <t>36.L2.3060.USC3621</t>
  </si>
  <si>
    <t>36.L2.3060.USC3622</t>
  </si>
  <si>
    <t>36.L2.3060.USC3623</t>
  </si>
  <si>
    <t>36.L2.3060.USC3624</t>
  </si>
  <si>
    <t>36.L2.3060.USC3626</t>
  </si>
  <si>
    <t>36.L2.3060.USC3627</t>
  </si>
  <si>
    <t>36.L2.3060.USC3629</t>
  </si>
  <si>
    <t>36.L2.3060.USC3631</t>
  </si>
  <si>
    <t>36.L2.3060.USC3631D</t>
  </si>
  <si>
    <t>36.L2.3060.USC3633</t>
  </si>
  <si>
    <t>36.L2.3060.USC3637</t>
  </si>
  <si>
    <t>36.L2.3060.USC3638</t>
  </si>
  <si>
    <t>36.L2.3060.USC3639</t>
  </si>
  <si>
    <t>36.L2.3060.USC3640</t>
  </si>
  <si>
    <t>36.L2.3060.USC3641</t>
  </si>
  <si>
    <t>36.L2.6060.IP6001</t>
  </si>
  <si>
    <t>36.L2.6060.IP6002</t>
  </si>
  <si>
    <t>36.L2.6060.IP6003</t>
  </si>
  <si>
    <t>36.L2.6060.IP6004</t>
  </si>
  <si>
    <t>36.L2.6060.IP6005</t>
  </si>
  <si>
    <t>36.L2.6060.IP6006</t>
  </si>
  <si>
    <t>36.L2.6060.IP6007</t>
  </si>
  <si>
    <t>36.L2.6060.N6002</t>
  </si>
  <si>
    <t>36.L2.8080.IP8001</t>
  </si>
  <si>
    <t>36.L2.8080.IP8002</t>
  </si>
  <si>
    <t>36.L2.8080.IP8003</t>
  </si>
  <si>
    <t>36.L2.8080.IP8004</t>
  </si>
  <si>
    <t>36.L2.8080.IP8005</t>
  </si>
  <si>
    <t>36.L2.8080.IP8006</t>
  </si>
  <si>
    <t>36.L2.8080.IP8007</t>
  </si>
  <si>
    <t>36.L3.3060.USC3601D</t>
  </si>
  <si>
    <t>36.L3.3060.USC3602D</t>
  </si>
  <si>
    <t>36.L3.3060.USC3602V</t>
  </si>
  <si>
    <t>36.L3.3060.USC3603D</t>
  </si>
  <si>
    <t>36.L3.3060.USC3603V</t>
  </si>
  <si>
    <t>36.L3.3060.USC3604D</t>
  </si>
  <si>
    <t>36.L3.3060.USC3621</t>
  </si>
  <si>
    <t>36.L3.3060.USC3622</t>
  </si>
  <si>
    <t>36.L3.3060.USC3623</t>
  </si>
  <si>
    <t>36.L3.3060.USC3624</t>
  </si>
  <si>
    <t>36.L3.3060.USC3625</t>
  </si>
  <si>
    <t>36.L3.3060.USC3626</t>
  </si>
  <si>
    <t>36.L3.3060.USC3627</t>
  </si>
  <si>
    <t>36.L3.3060.USC3628</t>
  </si>
  <si>
    <t>36.L3.3060.USC3629</t>
  </si>
  <si>
    <t>36.L3.3060.USC3629D</t>
  </si>
  <si>
    <t>36.L3.3060.USC3630</t>
  </si>
  <si>
    <t>36.L3.3060.USC3631</t>
  </si>
  <si>
    <t>36.L3.3060.USC3632</t>
  </si>
  <si>
    <t>36.L3.3060.USC3633</t>
  </si>
  <si>
    <t>36.L3.3060.USC3635D</t>
  </si>
  <si>
    <t>36.L3.3060.USC3637</t>
  </si>
  <si>
    <t>36.L3.3060.USC3638</t>
  </si>
  <si>
    <t>36.L3.3060.USC3639</t>
  </si>
  <si>
    <t>36.L3.3060.USC3640</t>
  </si>
  <si>
    <t>36.L3.3060.USC3641</t>
  </si>
  <si>
    <t>36.L3.3060.USC3642</t>
  </si>
  <si>
    <t>36.L3.6060.IP6001</t>
  </si>
  <si>
    <t>36.L3.6060.IP6002</t>
  </si>
  <si>
    <t>36.L3.6060.IP6003</t>
  </si>
  <si>
    <t>36.L3.6060.IP6004</t>
  </si>
  <si>
    <t>36.L3.6060.IP6005</t>
  </si>
  <si>
    <t>36.L3.6060.IP6006</t>
  </si>
  <si>
    <t>36.L3.6060.IP6007</t>
  </si>
  <si>
    <t>36.L3.8080.IP8001</t>
  </si>
  <si>
    <t>36.L3.8080.IP8002</t>
  </si>
  <si>
    <t>36.L3.8080.IP8003</t>
  </si>
  <si>
    <t>36.L3.8080.IP8004</t>
  </si>
  <si>
    <t>36.L3.8080.IP8005</t>
  </si>
  <si>
    <t>36.L3.8080.IP8007</t>
  </si>
  <si>
    <t>38.L2.3060.ICC3600</t>
  </si>
  <si>
    <t>38.L2.3060.ICC3600D</t>
  </si>
  <si>
    <t>38.L2.3060.ICC3600V</t>
  </si>
  <si>
    <t>38.L2.3060.ICC3601</t>
  </si>
  <si>
    <t>38.L2.3060.ICC3601D</t>
  </si>
  <si>
    <t>38.L2.3060.ICC3601V</t>
  </si>
  <si>
    <t>38.L2.3060.ICC3602</t>
  </si>
  <si>
    <t>38.L2.3060.ICC3602D</t>
  </si>
  <si>
    <t>38.L2.3060.ICC3602V</t>
  </si>
  <si>
    <t>38.L2.3060.ICC3603</t>
  </si>
  <si>
    <t>38.L2.3060.ICC3603D</t>
  </si>
  <si>
    <t>38.L2.3060.ICC3604</t>
  </si>
  <si>
    <t>38.L2.3060.ICC3605</t>
  </si>
  <si>
    <t>38.L2.3060.ICC3605D</t>
  </si>
  <si>
    <t>38.L2.3060.ICC3606</t>
  </si>
  <si>
    <t>38.L2.3060.ICC3607</t>
  </si>
  <si>
    <t>38.L2.3060.ICC3607D</t>
  </si>
  <si>
    <t>38.L2.3060.ICC3608</t>
  </si>
  <si>
    <t>38.L2.3060.UGC3600</t>
  </si>
  <si>
    <t>38.L2.3060.UGC3600AV</t>
  </si>
  <si>
    <t>38.L2.3060.UGC3602</t>
  </si>
  <si>
    <t>38.L2.3060.UGC3602AV</t>
  </si>
  <si>
    <t>39.L2.3060.USGM3601</t>
  </si>
  <si>
    <t>39.L2.3060.USGM3602</t>
  </si>
  <si>
    <t>39.L2.3060.USGM3603</t>
  </si>
  <si>
    <t>39.L2.3060.USGM3613</t>
  </si>
  <si>
    <t>39.L2.3060.USGM3619</t>
  </si>
  <si>
    <t>39.L2.4080.USG48012</t>
  </si>
  <si>
    <t>39.L2.6060.UGG6001</t>
  </si>
  <si>
    <t>39.L2.6060.UGG6004</t>
  </si>
  <si>
    <t>39.L2.6060.UGG6006</t>
  </si>
  <si>
    <t>39.L2.6060.UGG6007</t>
  </si>
  <si>
    <t>39.L2.6060.UGG6010</t>
  </si>
  <si>
    <t>39.L3.6060.UGG6001</t>
  </si>
  <si>
    <t>39.L3.6060.UGG6003</t>
  </si>
  <si>
    <t>39.L3.6060.UGG6004</t>
  </si>
  <si>
    <t>39.L3.6060.UGG6006</t>
  </si>
  <si>
    <t>39.L3.6060.UGG6007</t>
  </si>
  <si>
    <t>39.L3.6060.UGG6010</t>
  </si>
  <si>
    <t>39.L3.6060.USGM6008</t>
  </si>
  <si>
    <t>41.L1.4080.MT483001</t>
  </si>
  <si>
    <t>41.L1.4080.MT483001D</t>
  </si>
  <si>
    <t>41.L1.4080.MT483001V</t>
  </si>
  <si>
    <t>41.L1.4080.MT483002B</t>
  </si>
  <si>
    <t>41.L1.4080.MT483002D</t>
  </si>
  <si>
    <t>41.L1.4080.MT483002W</t>
  </si>
  <si>
    <t>41.L1.4080.S4204</t>
  </si>
  <si>
    <t>41.L1.4080.UT483001</t>
  </si>
  <si>
    <t>41.L1.4080.UT483001D</t>
  </si>
  <si>
    <t>41.L1.4080.UT483001V</t>
  </si>
  <si>
    <t>41.L1.4080.UT483002B</t>
  </si>
  <si>
    <t>41.L1.4080.UT483002W</t>
  </si>
  <si>
    <t>41.L1.5050.UT552002</t>
  </si>
  <si>
    <t>41.L1.6060.6106</t>
  </si>
  <si>
    <t>41.L1.6060.6201</t>
  </si>
  <si>
    <t>41.L1.6060.6202</t>
  </si>
  <si>
    <t>41.L1.6060.6203</t>
  </si>
  <si>
    <t>41.L1.6060.AM6157</t>
  </si>
  <si>
    <t>41.L1.6060.MT663001</t>
  </si>
  <si>
    <t>41.L1.6060.MT663002</t>
  </si>
  <si>
    <t>41.L1.6060.MT663003</t>
  </si>
  <si>
    <t>41.L1.6060.MT663004</t>
  </si>
  <si>
    <t>41.L1.6060.MT663005</t>
  </si>
  <si>
    <t>41.L1.6060.UT663001</t>
  </si>
  <si>
    <t>41.L1.6060.UT663003</t>
  </si>
  <si>
    <t>41.L1.6060.UT663004</t>
  </si>
  <si>
    <t>41.L1.8080.MS883001</t>
  </si>
  <si>
    <t>41.L1.8080.MS883002</t>
  </si>
  <si>
    <t>41.L1.8080.MS883003</t>
  </si>
  <si>
    <t>41.L1.8080.MS883006</t>
  </si>
  <si>
    <t>41.L1.8080.MT883001</t>
  </si>
  <si>
    <t>41.L1.8080.MT883002</t>
  </si>
  <si>
    <t>41.L1.8080.MT883003</t>
  </si>
  <si>
    <t>41.L1.8080.MT883004</t>
  </si>
  <si>
    <t>41.L1.8080.MT883006</t>
  </si>
  <si>
    <t>41.L1.8080.UT883001</t>
  </si>
  <si>
    <t>41.L1.8080.UT883002</t>
  </si>
  <si>
    <t>41.L1.8080.UT883003</t>
  </si>
  <si>
    <t>41.L1.8080.UT883004</t>
  </si>
  <si>
    <t>41.L1.8080.UT883006</t>
  </si>
  <si>
    <t>41.L2.3060.D3209</t>
  </si>
  <si>
    <t>41.L2.3060.R3101</t>
  </si>
  <si>
    <t>41.L2.3060.R3103</t>
  </si>
  <si>
    <t>41.L2.3060.R3104</t>
  </si>
  <si>
    <t>41.L2.3060.R3106</t>
  </si>
  <si>
    <t>41.L2.3060.R3107</t>
  </si>
  <si>
    <t>41.L2.3060.R3108</t>
  </si>
  <si>
    <t>41.L2.3060.R3109</t>
  </si>
  <si>
    <t>41.L2.3060.R3114</t>
  </si>
  <si>
    <t>41.L2.3060.R3116</t>
  </si>
  <si>
    <t>41.L2.3060.R3201</t>
  </si>
  <si>
    <t>41.L2.3060.R3207</t>
  </si>
  <si>
    <t>41.L2.6060.M6154</t>
  </si>
  <si>
    <t>43.HC.ALSN5.DEN</t>
  </si>
  <si>
    <t>47.L1.6060.AFP96604</t>
  </si>
  <si>
    <t>47.L1.6060.AFP96607</t>
  </si>
  <si>
    <t>47.L1.6060.AFP966602</t>
  </si>
  <si>
    <t>47.L1.6060.AFP96666</t>
  </si>
  <si>
    <t>47.L1.6060.AFPH966001</t>
  </si>
  <si>
    <t>47.L1.6060.FPU966002</t>
  </si>
  <si>
    <t>21.C100.DG.MPECO.00</t>
  </si>
  <si>
    <t>Nhom 2: 3-11 thang</t>
  </si>
  <si>
    <t>21.C100.DG.UNIECO.00</t>
  </si>
  <si>
    <t>18.C100.DG.UTILE.00.</t>
  </si>
  <si>
    <t>22.C100.DG.UNILUXPRO.00</t>
  </si>
  <si>
    <t>18.C100.DG.BMFIX.00.</t>
  </si>
  <si>
    <t>22.C100.DG.UC-PRO.00</t>
  </si>
  <si>
    <t>22.C100.DG.UCPRO.00</t>
  </si>
  <si>
    <t>29.L1.3060.FUSC3643</t>
  </si>
  <si>
    <t>29.L1.3060.FUSC3644</t>
  </si>
  <si>
    <t>29.L1.3060.FUSC3641</t>
  </si>
  <si>
    <t>29.L1.3060.FUSC3642</t>
  </si>
  <si>
    <t>20.L1.6060.A91662</t>
  </si>
  <si>
    <t>05.L1.3060.USG36000</t>
  </si>
  <si>
    <t>29.L1.3060.FC39004</t>
  </si>
  <si>
    <t>41.L1.6060.AM6154</t>
  </si>
  <si>
    <t>20.L1.6060.A91661</t>
  </si>
  <si>
    <t>05.L1.6060.USG66008</t>
  </si>
  <si>
    <t>41.L1.6060.AU6154</t>
  </si>
  <si>
    <t>41.L1.5050.91504</t>
  </si>
  <si>
    <t>20.L1.6060.A26112</t>
  </si>
  <si>
    <t>41.L1.5050.91507</t>
  </si>
  <si>
    <t>29.L1.3060.FC39002</t>
  </si>
  <si>
    <t>41.L1.5050.91505</t>
  </si>
  <si>
    <t>38.L1.3060.UGC3600</t>
  </si>
  <si>
    <t>41.L1.5050.91501</t>
  </si>
  <si>
    <t>36.L2.3060.USC3603</t>
  </si>
  <si>
    <t>05.L1.6060.USG66001</t>
  </si>
  <si>
    <t>29.L1.3060.FUSM3646</t>
  </si>
  <si>
    <t>29.L1.3060.FUSM3645</t>
  </si>
  <si>
    <t>29.L1.3060.FC39005</t>
  </si>
  <si>
    <t>29.L1.3060.FUSM3650</t>
  </si>
  <si>
    <t>38.L1.5050.SVUSC513</t>
  </si>
  <si>
    <t>38.L1.3060.UGC3602</t>
  </si>
  <si>
    <t>29.L1.3060.FC39003</t>
  </si>
  <si>
    <t>20.L1.8080.91861</t>
  </si>
  <si>
    <t>41.L1.3060.UT361001T</t>
  </si>
  <si>
    <t>46.L1.4080.USC4804</t>
  </si>
  <si>
    <t>41.L1.3060.MT361001T</t>
  </si>
  <si>
    <t>05.L1.6060.USG66006</t>
  </si>
  <si>
    <t>41.L1.5050.91503</t>
  </si>
  <si>
    <t>46.L1.4080.USC4808</t>
  </si>
  <si>
    <t>41.L1.5050.91506</t>
  </si>
  <si>
    <t>29.L1.3060.FUSM3648</t>
  </si>
  <si>
    <t>29.L1.3060.FUSM3649</t>
  </si>
  <si>
    <t>41.L1.6060.S6154</t>
  </si>
  <si>
    <t>38.L1.5050.SVUSC506</t>
  </si>
  <si>
    <t>46.L1.4080.USC4806</t>
  </si>
  <si>
    <t>41.L1.3060.U3307</t>
  </si>
  <si>
    <t>29.L1.3060.FC39006</t>
  </si>
  <si>
    <t>05.L1.6060.USG66007</t>
  </si>
  <si>
    <t>25.L1.3060.FP936604</t>
  </si>
  <si>
    <t>41.L1.6060.AM6155</t>
  </si>
  <si>
    <t>05.L1.6060.USG66005</t>
  </si>
  <si>
    <t>41.L1.5050.UT552001</t>
  </si>
  <si>
    <t>29.L1.3060.FUSM3647</t>
  </si>
  <si>
    <t>38.L1.5050.SVUSC512</t>
  </si>
  <si>
    <t>38.L1.5050.SVKAI504</t>
  </si>
  <si>
    <t>20.L1.8080.91862</t>
  </si>
  <si>
    <t>38.L1.5050.SVUSC514</t>
  </si>
  <si>
    <t>25.L1.3060.FP936612</t>
  </si>
  <si>
    <t>05.L1.6060.USG66003</t>
  </si>
  <si>
    <t>41.L1.3060.M3301</t>
  </si>
  <si>
    <t>10.L2.3060.4554</t>
  </si>
  <si>
    <t>05.L1.6060.USG66004</t>
  </si>
  <si>
    <t>29.L1.3060.FC39012</t>
  </si>
  <si>
    <t>41.L1.6060.AU6153</t>
  </si>
  <si>
    <t>47.L1.3060.FP936606</t>
  </si>
  <si>
    <t>29.L1.3060.FC39007</t>
  </si>
  <si>
    <t>38.L1.5050.SVUSC511</t>
  </si>
  <si>
    <t>41.L1.6060.M6156</t>
  </si>
  <si>
    <t>05.L1.8080.USG88008</t>
  </si>
  <si>
    <t>29.L1.3060.FUSC3643V</t>
  </si>
  <si>
    <t>46.L1.4080.USC4809</t>
  </si>
  <si>
    <t>20.L1.6060.A66103</t>
  </si>
  <si>
    <t>41.L1.3060.U3308</t>
  </si>
  <si>
    <t>41.L1.3060.M3303</t>
  </si>
  <si>
    <t>20.L1.6060.A36917</t>
  </si>
  <si>
    <t>25.L1.4080.FP948603</t>
  </si>
  <si>
    <t>38.L1.4080.UT481004T</t>
  </si>
  <si>
    <t>25.L1.3060.FP936606</t>
  </si>
  <si>
    <t>47.L1.3060.FP936612</t>
  </si>
  <si>
    <t>41.L1.3060.U3301</t>
  </si>
  <si>
    <t>41.L1.3060.U3305</t>
  </si>
  <si>
    <t>41.L1.3060.M3306</t>
  </si>
  <si>
    <t>41.L1.6060.AU6151</t>
  </si>
  <si>
    <t>25.L1.6060.FPU966003</t>
  </si>
  <si>
    <t>29.L1.3060.FUSC3644V</t>
  </si>
  <si>
    <t>25.L1.3060.FP936602</t>
  </si>
  <si>
    <t>38.L1.5050.SVKAI505</t>
  </si>
  <si>
    <t>29.L1.3060.FC39010</t>
  </si>
  <si>
    <t>20.L1.6060.A66105</t>
  </si>
  <si>
    <t>29.L1.3060.FC39011</t>
  </si>
  <si>
    <t>47.L1.6060.FPU966003</t>
  </si>
  <si>
    <t>41.L1.3060.M3305</t>
  </si>
  <si>
    <t>05.L1.3060.KAG36900</t>
  </si>
  <si>
    <t>47.L1.3060.FP936604</t>
  </si>
  <si>
    <t>25.L1.3060.FP936605</t>
  </si>
  <si>
    <t>20.L1.6060.A26905</t>
  </si>
  <si>
    <t>47.L1.8080.FPU8003</t>
  </si>
  <si>
    <t>47.L1.3060.FP936601</t>
  </si>
  <si>
    <t>36.L2.3060.USC3602</t>
  </si>
  <si>
    <t>38.L1.3060.KAI3607</t>
  </si>
  <si>
    <t>36.L2.3060.USC3601</t>
  </si>
  <si>
    <t>41.L1.6060.AM6153</t>
  </si>
  <si>
    <t>41.L1.5050.91508</t>
  </si>
  <si>
    <t>25.L1.6060.FP966602</t>
  </si>
  <si>
    <t>20.L1.6060.A66101</t>
  </si>
  <si>
    <t>41.L1.3060.U3306</t>
  </si>
  <si>
    <t>03.L1.3060.68414</t>
  </si>
  <si>
    <t>39.L1.4080.USG48009</t>
  </si>
  <si>
    <t>41.L1.5050.91502</t>
  </si>
  <si>
    <t>29.L1.3060.FUSM3652</t>
  </si>
  <si>
    <t>29.L1.3060.FUSC3641V</t>
  </si>
  <si>
    <t>38.L1.3060.KAI3608</t>
  </si>
  <si>
    <t>29.L1.3060.FUSC3642V</t>
  </si>
  <si>
    <t>41.L1.3060.S3103</t>
  </si>
  <si>
    <t>05.L1.6060.USG66002</t>
  </si>
  <si>
    <t>20.L1.6060.A66104</t>
  </si>
  <si>
    <t>41.L1.6060.U6156</t>
  </si>
  <si>
    <t>41.L1.6060.AM6151</t>
  </si>
  <si>
    <t>20.L1.6060.A36005</t>
  </si>
  <si>
    <t>36.L2.3060.USC3604</t>
  </si>
  <si>
    <t>20.L1.6060.A26172</t>
  </si>
  <si>
    <t>41.L1.5050.MS552001</t>
  </si>
  <si>
    <t>41.L1.6060.MS663002</t>
  </si>
  <si>
    <t>20.L1.8080.89804</t>
  </si>
  <si>
    <t>25.L1.3060.FP936609</t>
  </si>
  <si>
    <t>36.L1.6060.IP6004</t>
  </si>
  <si>
    <t>36.L1.6060.IP6006</t>
  </si>
  <si>
    <t>20.L1.6060.A66102</t>
  </si>
  <si>
    <t>41.L1.3060.M3307</t>
  </si>
  <si>
    <t>41.L1.3060.S3101</t>
  </si>
  <si>
    <t>20.L1.6060.A16901</t>
  </si>
  <si>
    <t>36.L1.6060.IP6001</t>
  </si>
  <si>
    <t>20.L1.6060.A89605</t>
  </si>
  <si>
    <t>20.L1.6060.A36916</t>
  </si>
  <si>
    <t>05.L1.3060.KAG36901</t>
  </si>
  <si>
    <t>41.L1.3060.U3303</t>
  </si>
  <si>
    <t>38.L1.5050.SVKAI502</t>
  </si>
  <si>
    <t>20.L1.8080.89801</t>
  </si>
  <si>
    <t>41.L1.4060.MT462002</t>
  </si>
  <si>
    <t>41.L1.4080.M4101</t>
  </si>
  <si>
    <t>20.L1.6060.A89604</t>
  </si>
  <si>
    <t>05.L1.8080.USG88001</t>
  </si>
  <si>
    <t>36.L3.3060.USC3603</t>
  </si>
  <si>
    <t>41.L1.3060.M3308</t>
  </si>
  <si>
    <t>41.L1.6060.MS663004</t>
  </si>
  <si>
    <t>41.L1.3060.M3108</t>
  </si>
  <si>
    <t>25.L1.3060.FP936608</t>
  </si>
  <si>
    <t>36.L1.6060.IP6007</t>
  </si>
  <si>
    <t>20.L1.8080.18910</t>
  </si>
  <si>
    <t>36.L1.6060.IP6005</t>
  </si>
  <si>
    <t>10.L2.3060.4547</t>
  </si>
  <si>
    <t>47.L1.3060.FP936610</t>
  </si>
  <si>
    <t>41.L1.3060.MS361001T</t>
  </si>
  <si>
    <t>41.L1.6060.M6157</t>
  </si>
  <si>
    <t>36.L1.6060.IP6002</t>
  </si>
  <si>
    <t>41.L1.3060.U3106</t>
  </si>
  <si>
    <t>41.L1.4080.U4101</t>
  </si>
  <si>
    <t>38.L1.4080.UT481001T</t>
  </si>
  <si>
    <t>10.L2.3060.4566</t>
  </si>
  <si>
    <t>20.L1.8080.89802</t>
  </si>
  <si>
    <t>25.L1.6060.FPU966005</t>
  </si>
  <si>
    <t>20.L1.6060.A89601</t>
  </si>
  <si>
    <t>20.L1.6060.A16004</t>
  </si>
  <si>
    <t>47.L1.3060.FP936607</t>
  </si>
  <si>
    <t>25.L1.4080.FP948604</t>
  </si>
  <si>
    <t>29.L1.3060.FC39013</t>
  </si>
  <si>
    <t>29.L1.3060.FUSC3636</t>
  </si>
  <si>
    <t>20.L1.6060.A16405</t>
  </si>
  <si>
    <t>05.L1.3060.KAG36904</t>
  </si>
  <si>
    <t>41.L1.6060.S6155</t>
  </si>
  <si>
    <t>29.L1.3060.FUSM3651</t>
  </si>
  <si>
    <t>29.L1.3060.FC39004D</t>
  </si>
  <si>
    <t>38.L1.5050.SVICC503</t>
  </si>
  <si>
    <t>41.L1.6060.U6158</t>
  </si>
  <si>
    <t>20.L1.6060.A66106</t>
  </si>
  <si>
    <t>41.L1.3060.U3105</t>
  </si>
  <si>
    <t>29.L1.3060.FC39008</t>
  </si>
  <si>
    <t>20.L1.8080.68104</t>
  </si>
  <si>
    <t>20.L1.8080.18915</t>
  </si>
  <si>
    <t>41.L1.4080.U4103</t>
  </si>
  <si>
    <t>20.L1.6060.A89603</t>
  </si>
  <si>
    <t>29.L1.3060.FUSC3635</t>
  </si>
  <si>
    <t>25.L1.4080.FP948602</t>
  </si>
  <si>
    <t>20.L1.8080.18911</t>
  </si>
  <si>
    <t>36.L3.3060.USC3604</t>
  </si>
  <si>
    <t>20.L1.6060.A16001</t>
  </si>
  <si>
    <t>05.L1.3060.KAG36906</t>
  </si>
  <si>
    <t>25.L1.3060.FP936613</t>
  </si>
  <si>
    <t>20.L1.8080.89805</t>
  </si>
  <si>
    <t>47.L1.3060.FP936605</t>
  </si>
  <si>
    <t>20.L1.8080.18912</t>
  </si>
  <si>
    <t>29.L1.3060.FC39009</t>
  </si>
  <si>
    <t>20.L1.6060.A36919</t>
  </si>
  <si>
    <t>38.L1.5050.SVUSC510</t>
  </si>
  <si>
    <t>29.L1.6060.FP96601</t>
  </si>
  <si>
    <t>20.L1.6060.A16902</t>
  </si>
  <si>
    <t>41.L1.6060.MS663001</t>
  </si>
  <si>
    <t>29.L1.3060.FC39002D</t>
  </si>
  <si>
    <t>10.L1.5050.5322</t>
  </si>
  <si>
    <t>41.L1.6060.AS6152</t>
  </si>
  <si>
    <t>41.L1.3060.M3107</t>
  </si>
  <si>
    <t>20.L1.5050.35201</t>
  </si>
  <si>
    <t>20.L1.6060.A16003</t>
  </si>
  <si>
    <t>41.L1.6060.S6104</t>
  </si>
  <si>
    <t>39.L1.4080.USG48003</t>
  </si>
  <si>
    <t>41.L1.4080.S4101</t>
  </si>
  <si>
    <t>47.L1.3060.FP936608</t>
  </si>
  <si>
    <t>25.L1.3060.FP936607</t>
  </si>
  <si>
    <t>20.L1.6060.A16903</t>
  </si>
  <si>
    <t>25.L1.8080.FPU188003</t>
  </si>
  <si>
    <t>41.L1.6060.AU6155</t>
  </si>
  <si>
    <t>36.L3.3060.USC3602</t>
  </si>
  <si>
    <t>36.L3.3060.USC3601</t>
  </si>
  <si>
    <t>25.L1.4080.FP948601</t>
  </si>
  <si>
    <t>20.L1.8080.89806</t>
  </si>
  <si>
    <t>20.L1.6060.A89602</t>
  </si>
  <si>
    <t>20.L1.6060.A89607</t>
  </si>
  <si>
    <t>20.L1.6060.A26901</t>
  </si>
  <si>
    <t>25.L1.6060.FP966605</t>
  </si>
  <si>
    <t>39.L1.4080.USG48006</t>
  </si>
  <si>
    <t>20.L1.8080.68105</t>
  </si>
  <si>
    <t>41.L2.3060.D3114</t>
  </si>
  <si>
    <t>20.L1.6060.A26903</t>
  </si>
  <si>
    <t>29.L1.6060.FP966602</t>
  </si>
  <si>
    <t>20.L1.8080.68103</t>
  </si>
  <si>
    <t>05.L1.8080.USG88005</t>
  </si>
  <si>
    <t>47.L1.3060.FP936613</t>
  </si>
  <si>
    <t>05.L1.8080.USG88004</t>
  </si>
  <si>
    <t>05.L1.8080.USG88006</t>
  </si>
  <si>
    <t>41.L1.6060.U6157</t>
  </si>
  <si>
    <t>41.L1.4060.MT462004</t>
  </si>
  <si>
    <t>25.L1.6060.FP96601</t>
  </si>
  <si>
    <t>20.L1.8080.68102</t>
  </si>
  <si>
    <t>20.L1.6060.A89606</t>
  </si>
  <si>
    <t>05.L1.8080.USG88007</t>
  </si>
  <si>
    <t>25.L1.3060.FP936601</t>
  </si>
  <si>
    <t>29.L1.8080.FPU188003</t>
  </si>
  <si>
    <t>29.L1.6060.FPU966002</t>
  </si>
  <si>
    <t>47.L1.4080.FP948604</t>
  </si>
  <si>
    <t>20.L1.8080.38915</t>
  </si>
  <si>
    <t>20.L1.8080.89807</t>
  </si>
  <si>
    <t>20.L1.6060.A36004</t>
  </si>
  <si>
    <t>47.L1.6060.FPU966009</t>
  </si>
  <si>
    <t>20.L1.5050.35106</t>
  </si>
  <si>
    <t>20.L1.8080.89803</t>
  </si>
  <si>
    <t>47.L1.4080.FP948601</t>
  </si>
  <si>
    <t>20.L1.6060.A89651</t>
  </si>
  <si>
    <t>38.L1.3060.UGC3602AV</t>
  </si>
  <si>
    <t>05.L1.3060.KAG36902</t>
  </si>
  <si>
    <t>25.L1.3060.FP936610</t>
  </si>
  <si>
    <t>20.L1.8080.68101</t>
  </si>
  <si>
    <t>46.L1.4080.USC4806V</t>
  </si>
  <si>
    <t>20.L1.6060.A89658</t>
  </si>
  <si>
    <t>41.L1.4060.MT462003</t>
  </si>
  <si>
    <t>29.L1.3060.FUSC3644D</t>
  </si>
  <si>
    <t>39.L1.4080.USG48011</t>
  </si>
  <si>
    <t>29.L1.6060.FP96608</t>
  </si>
  <si>
    <t>20.L1.8080.68106</t>
  </si>
  <si>
    <t>29.L1.3060.FUSC3643D</t>
  </si>
  <si>
    <t>29.L1.6060.FPH966001</t>
  </si>
  <si>
    <t>36.L1.6060.IP6003</t>
  </si>
  <si>
    <t>20.L1.6060.A36003</t>
  </si>
  <si>
    <t>20.L1.6060.A36902</t>
  </si>
  <si>
    <t>41.L1.6060.MS663003</t>
  </si>
  <si>
    <t>29.L1.3060.FUSM3645D</t>
  </si>
  <si>
    <t>47.L1.4080.FP948602</t>
  </si>
  <si>
    <t>20.L1.8080.89851</t>
  </si>
  <si>
    <t>46.L1.4080.USC4804V</t>
  </si>
  <si>
    <t>47.L1.6060.FPU6666</t>
  </si>
  <si>
    <t>29.L1.3060.FUSC3641D</t>
  </si>
  <si>
    <t>41.L1.4080.S4104</t>
  </si>
  <si>
    <t>41.L1.4080.S4106</t>
  </si>
  <si>
    <t>20.L1.6060.A16114</t>
  </si>
  <si>
    <t>20.L1.6060.A16906</t>
  </si>
  <si>
    <t>25.L1.8080.FP18601</t>
  </si>
  <si>
    <t>47.L1.3060.FP936611</t>
  </si>
  <si>
    <t>25.L1.6060.FPU966002</t>
  </si>
  <si>
    <t>20.L1.6060.A89656</t>
  </si>
  <si>
    <t>47.L1.8080.FPU8017</t>
  </si>
  <si>
    <t>41.L1.3060.MT361003V</t>
  </si>
  <si>
    <t>41.L1.6060.AS6154</t>
  </si>
  <si>
    <t>29.L1.3060.FC39006D</t>
  </si>
  <si>
    <t>05.L1.8080.USG88002</t>
  </si>
  <si>
    <t>46.L1.4080.USC4808V</t>
  </si>
  <si>
    <t>47.L1.6060.FP96600</t>
  </si>
  <si>
    <t>25.L1.6060.FP96666</t>
  </si>
  <si>
    <t>41.L1.4060.MT462001</t>
  </si>
  <si>
    <t>05.L1.6060.IP6003</t>
  </si>
  <si>
    <t>36.L2.3060.USC3625</t>
  </si>
  <si>
    <t>25.L1.6060.FPH966001</t>
  </si>
  <si>
    <t>41.L1.6060.AU6152</t>
  </si>
  <si>
    <t>20.L1.8080.89856</t>
  </si>
  <si>
    <t>41.L1.5050.UT552003</t>
  </si>
  <si>
    <t>25.L1.6060.FPU966001</t>
  </si>
  <si>
    <t>41.L1.3060.UT361003V</t>
  </si>
  <si>
    <t>25.L1.6060.FP96608</t>
  </si>
  <si>
    <t>25.L1.3060.FP936604D</t>
  </si>
  <si>
    <t>18.C200.DG.BMSET.00.</t>
  </si>
  <si>
    <t>20.L1.6060.A36903</t>
  </si>
  <si>
    <t>29.L1.8080.FP18604</t>
  </si>
  <si>
    <t>41.L1.3060.M3105</t>
  </si>
  <si>
    <t>05.L1.3060.KAG36905</t>
  </si>
  <si>
    <t>05.L1.8080.USG88003</t>
  </si>
  <si>
    <t>25.L1.6060.FP96604</t>
  </si>
  <si>
    <t>47.L1.4080.FP948603</t>
  </si>
  <si>
    <t>20.L1.8080.89854</t>
  </si>
  <si>
    <t>41.L1.5050.S5151</t>
  </si>
  <si>
    <t>39.L1.4080.USG48005</t>
  </si>
  <si>
    <t>41.L1.3060.M3106</t>
  </si>
  <si>
    <t>20.L1.8080.38919</t>
  </si>
  <si>
    <t>20.L1.6060.A36006</t>
  </si>
  <si>
    <t>05.L1.3060.USG36000BV</t>
  </si>
  <si>
    <t>41.L1.4080.U4104</t>
  </si>
  <si>
    <t>41.L1.3060.M3304</t>
  </si>
  <si>
    <t>41.L1.4060.MS462001</t>
  </si>
  <si>
    <t>20.L1.6060.A26107</t>
  </si>
  <si>
    <t>41.L1.4060.MS462002</t>
  </si>
  <si>
    <t>05.L1.3060.KAG36903</t>
  </si>
  <si>
    <t>36.L1.8080.IP8004</t>
  </si>
  <si>
    <t>41.L1.6060.AU6158</t>
  </si>
  <si>
    <t>41.L1.3060.U3407</t>
  </si>
  <si>
    <t>20.L1.8080.89853</t>
  </si>
  <si>
    <t>20.L1.8080.38916</t>
  </si>
  <si>
    <t>20.L1.6060.A89653</t>
  </si>
  <si>
    <t>27.L1.6060.DIC6617</t>
  </si>
  <si>
    <t>25.L1.8080.FP18604</t>
  </si>
  <si>
    <t>25.L1.6060.FPU966013</t>
  </si>
  <si>
    <t>39.L1.4080.USG48008</t>
  </si>
  <si>
    <t>05.L1.3060.USG36009</t>
  </si>
  <si>
    <t>47.L1.8080.FP18600</t>
  </si>
  <si>
    <t>05.L1.8080.IP8008</t>
  </si>
  <si>
    <t>05.L1.3060.KAG36907</t>
  </si>
  <si>
    <t>47.L1.3060.FP936606D</t>
  </si>
  <si>
    <t>25.L1.3060.FP936611</t>
  </si>
  <si>
    <t>41.L1.3060.S3102</t>
  </si>
  <si>
    <t>41.L1.3060.M3302</t>
  </si>
  <si>
    <t>20.L1.6060.A89654</t>
  </si>
  <si>
    <t>20.L1.6060.A16905</t>
  </si>
  <si>
    <t>20.L1.8080.89855</t>
  </si>
  <si>
    <t>41.L1.3060.M3405</t>
  </si>
  <si>
    <t>20.L1.100100.91113</t>
  </si>
  <si>
    <t>25.L1.6060.FP96606</t>
  </si>
  <si>
    <t>29.L1.8080.FPU188035</t>
  </si>
  <si>
    <t>36.L1.8080.IP8001</t>
  </si>
  <si>
    <t>39.L1.4080.USG48015</t>
  </si>
  <si>
    <t>05.L1.3060.USG36008</t>
  </si>
  <si>
    <t>38.L1.3060.UGC3600BV</t>
  </si>
  <si>
    <t>41.L1.6060.S6156</t>
  </si>
  <si>
    <t>38.L1.3060.ICC3601D</t>
  </si>
  <si>
    <t>41.L1.3060.U3405</t>
  </si>
  <si>
    <t>41.L1.6060.S6157</t>
  </si>
  <si>
    <t>05.L1.3060.USG36000AV</t>
  </si>
  <si>
    <t>39.L2.6060.UGG6003</t>
  </si>
  <si>
    <t>20.L1.6060.A89657</t>
  </si>
  <si>
    <t>47.L1.8080.FP18666</t>
  </si>
  <si>
    <t>41.L1.3060.S3104</t>
  </si>
  <si>
    <t>25.L1.6060.FPU966009</t>
  </si>
  <si>
    <t>20.L1.8080.89857</t>
  </si>
  <si>
    <t>25.L1.8080.FP18600</t>
  </si>
  <si>
    <t>05.L1.8080.IP8007</t>
  </si>
  <si>
    <t>25.L1.8080.FPU188035</t>
  </si>
  <si>
    <t>20.L1.100100.91112</t>
  </si>
  <si>
    <t>29.L1.3060.FP936601D</t>
  </si>
  <si>
    <t>36.L1.8080.IP8006</t>
  </si>
  <si>
    <t>41.L1.5050.S5152</t>
  </si>
  <si>
    <t>20.L1.6060.A26006</t>
  </si>
  <si>
    <t>29.L1.3060.FUSC3642D</t>
  </si>
  <si>
    <t>20.L1.8080.89858</t>
  </si>
  <si>
    <t>29.L1.3060.FC39012D</t>
  </si>
  <si>
    <t>36.L1.8080.IP8007</t>
  </si>
  <si>
    <t>41.L1.6060.AM6156</t>
  </si>
  <si>
    <t>41.L1.3060.U3302</t>
  </si>
  <si>
    <t>29.L1.3060.FUSC3639D</t>
  </si>
  <si>
    <t>29.L1.8080.FPU188011</t>
  </si>
  <si>
    <t>05.L1.3060.USG36007</t>
  </si>
  <si>
    <t>29.L1.3060.FUSM3649D</t>
  </si>
  <si>
    <t>25.L1.8080.FPU188005</t>
  </si>
  <si>
    <t>29.L1.8080.FP18608</t>
  </si>
  <si>
    <t>47.L1.3060.FP936612D</t>
  </si>
  <si>
    <t>25.L1.3060.FP936612D</t>
  </si>
  <si>
    <t>41.L1.4060.MS462003</t>
  </si>
  <si>
    <t>41.L1.3060.MS361003V</t>
  </si>
  <si>
    <t>25.L1.8080.FP18606</t>
  </si>
  <si>
    <t>20.L1.6060.A36904</t>
  </si>
  <si>
    <t>38.L1.3060.UGC3600AV</t>
  </si>
  <si>
    <t>41.L1.5050.MS552002</t>
  </si>
  <si>
    <t>47.L1.3060.FP936601V</t>
  </si>
  <si>
    <t>46.L1.4080.USC4809V</t>
  </si>
  <si>
    <t>38.L1.3060.KAI3600D</t>
  </si>
  <si>
    <t>05.L1.3060.USG36010</t>
  </si>
  <si>
    <t>29.L1.3060.FUSM3647D</t>
  </si>
  <si>
    <t>47.L1.6060.FP966605</t>
  </si>
  <si>
    <t>29.L1.3060.FC39010D</t>
  </si>
  <si>
    <t>36.L1.8080.IP8005</t>
  </si>
  <si>
    <t>20.L1.8080.89852</t>
  </si>
  <si>
    <t>41.L1.4080.S4107</t>
  </si>
  <si>
    <t>00.L1.8080.P87625N</t>
  </si>
  <si>
    <t>41.L1.6060.MS663005</t>
  </si>
  <si>
    <t>29.L1.4080.FP948604V</t>
  </si>
  <si>
    <t>21.PG.MAPELATEXVN.25</t>
  </si>
  <si>
    <t>05.L1.3060.KAG36900V</t>
  </si>
  <si>
    <t>41.L1.4060.MS462004</t>
  </si>
  <si>
    <t>29.L1.3060.FC39008D</t>
  </si>
  <si>
    <t>41.L1.4080.S4103</t>
  </si>
  <si>
    <t>41.L1.4080.S4108</t>
  </si>
  <si>
    <t>38.L1.3060.KAI3601AD</t>
  </si>
  <si>
    <t>29.L1.8080.FP18606</t>
  </si>
  <si>
    <t>25.L1.6060.FPU6016</t>
  </si>
  <si>
    <t>20.L1.6060.A89655</t>
  </si>
  <si>
    <t>41.L1.3060.U3304</t>
  </si>
  <si>
    <t>12.L1.2550.A2535</t>
  </si>
  <si>
    <t>41.L1.6060.AU6156</t>
  </si>
  <si>
    <t>41.L1.3060.M3407</t>
  </si>
  <si>
    <t>10.L2.3060.4556</t>
  </si>
  <si>
    <t>29.L1.6060.FP966605</t>
  </si>
  <si>
    <t>41.L1.5050.S5155</t>
  </si>
  <si>
    <t>20.L1.100100.91121</t>
  </si>
  <si>
    <t>41.L1.5050.UT552004</t>
  </si>
  <si>
    <t>41.L1.4080.M4203</t>
  </si>
  <si>
    <t>12.L1.2550.A2538</t>
  </si>
  <si>
    <t>20.L1.100100.91110</t>
  </si>
  <si>
    <t>05.L1.8080.688002</t>
  </si>
  <si>
    <t>38.L1.3060.KAI3607D</t>
  </si>
  <si>
    <t>21.C2TE.DG.ADESP9.00</t>
  </si>
  <si>
    <t>41.L1.3060.S3107</t>
  </si>
  <si>
    <t>47.L1.8080.FPU188005</t>
  </si>
  <si>
    <t>47.L1.3060.FP936604D</t>
  </si>
  <si>
    <t>25.L1.3060.FP936606D</t>
  </si>
  <si>
    <t>38.L1.3060.UGC3600BD</t>
  </si>
  <si>
    <t>47.L1.8080.FPU188013</t>
  </si>
  <si>
    <t>25.L1.3060.FP936602V</t>
  </si>
  <si>
    <t>41.L1.4080.S4109</t>
  </si>
  <si>
    <t>46.L1.4080.USC4806D</t>
  </si>
  <si>
    <t>41.L1.3060.S3108</t>
  </si>
  <si>
    <t>20.L1.6060.26500</t>
  </si>
  <si>
    <t>14.L1.3060.36800</t>
  </si>
  <si>
    <t>41.L1.4080.S4105</t>
  </si>
  <si>
    <t>25.L1.8080.FP18608</t>
  </si>
  <si>
    <t>20.L1.6060.26400</t>
  </si>
  <si>
    <t>41.L1.4080.M4201</t>
  </si>
  <si>
    <t>05.L1.8080.IP8003</t>
  </si>
  <si>
    <t>20.L1.8080.38906</t>
  </si>
  <si>
    <t>36.L2.8080.N8002</t>
  </si>
  <si>
    <t>05.L1.3060.KAG36901V</t>
  </si>
  <si>
    <t>47.L1.4080.FP948602V</t>
  </si>
  <si>
    <t>25.L1.6060.FPU6007</t>
  </si>
  <si>
    <t>05.L1.3060.USG36000BD</t>
  </si>
  <si>
    <t>47.L1.8080.FPU188033</t>
  </si>
  <si>
    <t>20.L1.100100.91120</t>
  </si>
  <si>
    <t>29.L1.6060.FPU966001</t>
  </si>
  <si>
    <t>25.L1.8080.FPU188033</t>
  </si>
  <si>
    <t>47.L1.4080.FP948601V</t>
  </si>
  <si>
    <t>41.L1.3060.M3403</t>
  </si>
  <si>
    <t>39.L1.4080.USG48010</t>
  </si>
  <si>
    <t>38.L1.4080.UT481001V</t>
  </si>
  <si>
    <t>25.L1.3060.FP936609V</t>
  </si>
  <si>
    <t>20.L1.100100.91111</t>
  </si>
  <si>
    <t>47.L1.3060.FP936608V</t>
  </si>
  <si>
    <t>29.L1.3060.FUSC3635D</t>
  </si>
  <si>
    <t>41.L1.5050.S5154</t>
  </si>
  <si>
    <t>20.L1.6060.A86301</t>
  </si>
  <si>
    <t>39.L1.4080.USG48004</t>
  </si>
  <si>
    <t>46.L1.4080.USC4804D</t>
  </si>
  <si>
    <t>38.L1.4080.UT481006V</t>
  </si>
  <si>
    <t>27.L1.6060.SV6004</t>
  </si>
  <si>
    <t>38.L1.4080.UT481005V</t>
  </si>
  <si>
    <t>25.L1.8080.FPU188013</t>
  </si>
  <si>
    <t>29.L1.8080.FP18600</t>
  </si>
  <si>
    <t>41.L2.3060.D3116</t>
  </si>
  <si>
    <t>29.L1.4080.FP948603D</t>
  </si>
  <si>
    <t>41.L1.3060.M3207</t>
  </si>
  <si>
    <t>10.L2.3060.4606</t>
  </si>
  <si>
    <t>36.L1.8080.IP8003</t>
  </si>
  <si>
    <t>25.L1.6060.FP96600</t>
  </si>
  <si>
    <t>42.HC.A300FUS.TRONG</t>
  </si>
  <si>
    <t>25.L1.8080.FPU188017</t>
  </si>
  <si>
    <t>39.L1.4080.USG48007</t>
  </si>
  <si>
    <t>47.L1.6060.AFPU966009</t>
  </si>
  <si>
    <t>47.L1.3060.FP936610D</t>
  </si>
  <si>
    <t>29.L1.6060.FPU966013</t>
  </si>
  <si>
    <t>14.L1.3060.A36AG403</t>
  </si>
  <si>
    <t>05.L1.3060.USG36000AD</t>
  </si>
  <si>
    <t>25.L1.3060.FP936608V</t>
  </si>
  <si>
    <t>38.L1.4080.UT481004V</t>
  </si>
  <si>
    <t>05.L1.3060.KAG36906D</t>
  </si>
  <si>
    <t>05.L1.3060.KAG36904D</t>
  </si>
  <si>
    <t>41.L1.4080.U4201</t>
  </si>
  <si>
    <t>25.L1.4080.FP948604V</t>
  </si>
  <si>
    <t>25.L1.6060.FPU6017</t>
  </si>
  <si>
    <t>44.HC.A500UC.TRONG</t>
  </si>
  <si>
    <t>20.L1.6060.A89652</t>
  </si>
  <si>
    <t>41.L1.3060.S3201</t>
  </si>
  <si>
    <t>47.L1.3060.FP936601D</t>
  </si>
  <si>
    <t>41.L1.5050.MS552003</t>
  </si>
  <si>
    <t>47.L1.6060.AFP96600</t>
  </si>
  <si>
    <t>25.L1.4080.FP948603V</t>
  </si>
  <si>
    <t>25.L1.4080.FP948602V</t>
  </si>
  <si>
    <t>38.L1.4080.UT481002V</t>
  </si>
  <si>
    <t>38.L1.3060.UGC3602AD</t>
  </si>
  <si>
    <t>20.L1.100100.91122</t>
  </si>
  <si>
    <t>47.L1.4080.FP948603V</t>
  </si>
  <si>
    <t>25.L1.6060.FP96607</t>
  </si>
  <si>
    <t>41.L1.3060.M3401</t>
  </si>
  <si>
    <t>39.L1.4080.USG48016</t>
  </si>
  <si>
    <t>41.L1.3060.S3105</t>
  </si>
  <si>
    <t>47.L1.8080.FPU188035</t>
  </si>
  <si>
    <t>22.CG2WA.CR.TILEJOINT.00</t>
  </si>
  <si>
    <t>41.L1.3060.U3205</t>
  </si>
  <si>
    <t>46.L1.4080.USC4808D</t>
  </si>
  <si>
    <t>05.L1.3060.KAG36901D</t>
  </si>
  <si>
    <t>41.L1.4080.S4206</t>
  </si>
  <si>
    <t>41.L1.3060.U3401</t>
  </si>
  <si>
    <t>41.L1.3060.S3203</t>
  </si>
  <si>
    <t>40.L1.3060.USC3604D</t>
  </si>
  <si>
    <t>47.L1.4080.FP948601D</t>
  </si>
  <si>
    <t>25.L1.4080.FP948601V</t>
  </si>
  <si>
    <t>47.L1.4080.FP948604V</t>
  </si>
  <si>
    <t>29.L1.3060.FUSM3651D</t>
  </si>
  <si>
    <t>41.L1.3060.M3205</t>
  </si>
  <si>
    <t>41.L1.3060.S3106</t>
  </si>
  <si>
    <t>41.L1.3060.UT361002D</t>
  </si>
  <si>
    <t>47.L1.4080.FP948602D</t>
  </si>
  <si>
    <t>36.L3.3060.USC3637D</t>
  </si>
  <si>
    <t>05.L1.3060.KAG36900D</t>
  </si>
  <si>
    <t>41.L1.4080.S4201</t>
  </si>
  <si>
    <t>47.L1.8080.FPU188011</t>
  </si>
  <si>
    <t>38.L1.4080.UT481003V</t>
  </si>
  <si>
    <t>41.L1.5050.S5153</t>
  </si>
  <si>
    <t>47.L1.6060.MECO633</t>
  </si>
  <si>
    <t>05.L1.3060.KAG36902D</t>
  </si>
  <si>
    <t>41.L1.3060.S3207</t>
  </si>
  <si>
    <t>05.L1.3060.USG36007D</t>
  </si>
  <si>
    <t>41.L1.3060.MT361002D</t>
  </si>
  <si>
    <t>41.L1.4080.U4203</t>
  </si>
  <si>
    <t>46.L1.4080.USC4809D</t>
  </si>
  <si>
    <t>21.CG2WA.CR.SF.00</t>
  </si>
  <si>
    <t>29.L1.6060.FPU966005</t>
  </si>
  <si>
    <t>10.L1.3060.68002</t>
  </si>
  <si>
    <t>38.L1.4080.UT481004D</t>
  </si>
  <si>
    <t>29.L1.3060.FPH3626V</t>
  </si>
  <si>
    <t>41.L2.3060.D3214</t>
  </si>
  <si>
    <t>25.L1.3060.FP936610D</t>
  </si>
  <si>
    <t>41.L1.4080.S4208</t>
  </si>
  <si>
    <t>38.L1.4080.UT481001D</t>
  </si>
  <si>
    <t>38.L1.3060.UGC3602BD</t>
  </si>
  <si>
    <t>47.L1.4080.FP948603D</t>
  </si>
  <si>
    <t>47.L1.3060.FP936608D</t>
  </si>
  <si>
    <t>41.L1.3060.U3403</t>
  </si>
  <si>
    <t>38.L1.4080.UT481002D</t>
  </si>
  <si>
    <t>47.L1.4080.FP948604D</t>
  </si>
  <si>
    <t>38.L1.4080.UT481005D</t>
  </si>
  <si>
    <t>21.CT.AQUAFLEXR77.GREY4</t>
  </si>
  <si>
    <t>47.L2.8080.CTN8002DB</t>
  </si>
  <si>
    <t>14.L1.3060.36822</t>
  </si>
  <si>
    <t>25.L1.4080.FP948604D</t>
  </si>
  <si>
    <t>38.L1.4080.UT481006D</t>
  </si>
  <si>
    <t>25.L1.4080.FP948603D</t>
  </si>
  <si>
    <t>47.L1.6060.AFP966605</t>
  </si>
  <si>
    <t>25.L1.4080.FP948601D</t>
  </si>
  <si>
    <t>14.L1.3060.A36SG405D</t>
  </si>
  <si>
    <t>43.HC.ALSN5.XAM</t>
  </si>
  <si>
    <t>12.L1.2550.A2534</t>
  </si>
  <si>
    <t>41.L1.3060.U3207</t>
  </si>
  <si>
    <t>20.L1.100100.91123</t>
  </si>
  <si>
    <t>41.L1.3060.S3205</t>
  </si>
  <si>
    <t>42.HC.A300FUS.TRANG</t>
  </si>
  <si>
    <t>42.HC.A500FUS.TRANG</t>
  </si>
  <si>
    <t>41.L1.3060.MS361002D</t>
  </si>
  <si>
    <t>42.HC.A500FUS.TRONG</t>
  </si>
  <si>
    <t>45.PK.LUX.MA.07</t>
  </si>
  <si>
    <t>25.L1.4080.FP948602D</t>
  </si>
  <si>
    <t>25.L1.3060.FP936608D</t>
  </si>
  <si>
    <t>45.PK.LUX.MA.304.05</t>
  </si>
  <si>
    <t>29.L1.3060.FPH3626D</t>
  </si>
  <si>
    <t>45.PK.LUX.TS.120.120.54</t>
  </si>
  <si>
    <t>45.PK.LUX.TS.120.120.62</t>
  </si>
  <si>
    <t>45.PK.LUX.VK.505</t>
  </si>
  <si>
    <t>38.L1.4080.UT481003D</t>
  </si>
  <si>
    <t>45.PK.LUX.HG.606</t>
  </si>
  <si>
    <t>21.CT.AQUAFLEXR77.W4</t>
  </si>
  <si>
    <t>45.PK.LUX.XP.304</t>
  </si>
  <si>
    <t>20.L1.100100.51107</t>
  </si>
  <si>
    <t>45.TB.LUX.CRC.82.45.2.K</t>
  </si>
  <si>
    <t>00.KCB.100.NS</t>
  </si>
  <si>
    <t>Nhom 1: &gt;= 12 thang</t>
  </si>
  <si>
    <t>00.KCB.150.NS</t>
  </si>
  <si>
    <t>00.KCB.200.NS</t>
  </si>
  <si>
    <t>00.KCT.100.NS</t>
  </si>
  <si>
    <t>00.KCT.150.NS</t>
  </si>
  <si>
    <t>00.KCT.200.NS</t>
  </si>
  <si>
    <t>00.KIM.01</t>
  </si>
  <si>
    <t>00.NEM.TS</t>
  </si>
  <si>
    <t>03.L1.6060.8000</t>
  </si>
  <si>
    <t>03.L1.6060.8050</t>
  </si>
  <si>
    <t>05.L1.6060.686001</t>
  </si>
  <si>
    <t>05.L1.6060.686002</t>
  </si>
  <si>
    <t>05.L1.6060.686003</t>
  </si>
  <si>
    <t>05.L1.6060.686004</t>
  </si>
  <si>
    <t>05.L1.6060.686005</t>
  </si>
  <si>
    <t>05.L1.6060.686006</t>
  </si>
  <si>
    <t>05.L1.6060.686007</t>
  </si>
  <si>
    <t>05.L1.6060.IP6001</t>
  </si>
  <si>
    <t>05.L1.6060.IP6002</t>
  </si>
  <si>
    <t>05.L1.6060.IP6004</t>
  </si>
  <si>
    <t>05.L1.6060.IP6005</t>
  </si>
  <si>
    <t>05.L1.6060.IP6006</t>
  </si>
  <si>
    <t>05.L1.6060.IP6007</t>
  </si>
  <si>
    <t>05.L1.8080.688001</t>
  </si>
  <si>
    <t>05.L1.8080.688003</t>
  </si>
  <si>
    <t>05.L1.8080.688004</t>
  </si>
  <si>
    <t>05.L1.8080.688005</t>
  </si>
  <si>
    <t>05.L1.8080.688006</t>
  </si>
  <si>
    <t>05.L1.8080.688007</t>
  </si>
  <si>
    <t>05.L1.8080.IP8001</t>
  </si>
  <si>
    <t>05.L1.8080.IP8002</t>
  </si>
  <si>
    <t>05.L1.8080.IP8004</t>
  </si>
  <si>
    <t>05.L1.8080.IP8005</t>
  </si>
  <si>
    <t>05.L1.8080.IP8006</t>
  </si>
  <si>
    <t>09.L1.1590.CA09GK15901</t>
  </si>
  <si>
    <t>09.L1.1590.CA09GK15902</t>
  </si>
  <si>
    <t>09.L1.1590.CA09GK15903</t>
  </si>
  <si>
    <t>09.L1.1590.CA09GK15904</t>
  </si>
  <si>
    <t>09.L1.1590.CA09GK15905</t>
  </si>
  <si>
    <t>09.L1.1590.CA10GK15901</t>
  </si>
  <si>
    <t>09.L1.1590.CA10GK15902</t>
  </si>
  <si>
    <t>09.L1.1590.CA10GK15903</t>
  </si>
  <si>
    <t>09.L1.1590.CA10GK15904</t>
  </si>
  <si>
    <t>09.L1.1590.CA10GK15905</t>
  </si>
  <si>
    <t>09.L1.3060.CA7GM3602</t>
  </si>
  <si>
    <t>09.L1.3060.CA7GM3603</t>
  </si>
  <si>
    <t>09.L1.3060.CA8GM3603</t>
  </si>
  <si>
    <t>09.L1.3060.CA8GM3604</t>
  </si>
  <si>
    <t>09.L1.3060.CAGM36D1</t>
  </si>
  <si>
    <t>09.L1.3060.CAGM36D4</t>
  </si>
  <si>
    <t>09.L1.6060.CA01GM6601</t>
  </si>
  <si>
    <t>09.L1.6060.CA01GM6602</t>
  </si>
  <si>
    <t>09.L1.6060.CA03GM6601</t>
  </si>
  <si>
    <t>09.L1.6060.CA03GM6602</t>
  </si>
  <si>
    <t>09.L1.6060.CA05GM6601</t>
  </si>
  <si>
    <t>09.L1.6060.CA08GM6602</t>
  </si>
  <si>
    <t>10.L1.3060.4547</t>
  </si>
  <si>
    <t>10.L1.3060.4548</t>
  </si>
  <si>
    <t>10.L1.3060.4549</t>
  </si>
  <si>
    <t>10.L1.3060.4551</t>
  </si>
  <si>
    <t>10.L1.3060.4552</t>
  </si>
  <si>
    <t>10.L1.3060.4553</t>
  </si>
  <si>
    <t>10.L1.3060.4554</t>
  </si>
  <si>
    <t>10.L1.3060.4555</t>
  </si>
  <si>
    <t>10.L1.3060.4556</t>
  </si>
  <si>
    <t>10.L1.3060.4557</t>
  </si>
  <si>
    <t>10.L1.3060.4558</t>
  </si>
  <si>
    <t>10.L1.3060.4559</t>
  </si>
  <si>
    <t>10.L1.3060.4561</t>
  </si>
  <si>
    <t>10.L1.3060.4562</t>
  </si>
  <si>
    <t>10.L1.3060.4563</t>
  </si>
  <si>
    <t>10.L1.3060.4564</t>
  </si>
  <si>
    <t>10.L1.3060.4565</t>
  </si>
  <si>
    <t>10.L1.3060.4566</t>
  </si>
  <si>
    <t>10.L1.3060.4567</t>
  </si>
  <si>
    <t>10.L1.3060.4568</t>
  </si>
  <si>
    <t>10.L1.3060.4569</t>
  </si>
  <si>
    <t>10.L1.3060.4571</t>
  </si>
  <si>
    <t>10.L1.3060.4572</t>
  </si>
  <si>
    <t>10.L1.3060.4573</t>
  </si>
  <si>
    <t>10.L1.3060.4604</t>
  </si>
  <si>
    <t>10.L1.3060.4605</t>
  </si>
  <si>
    <t>10.L1.3060.4606</t>
  </si>
  <si>
    <t>10.L1.3060.4607</t>
  </si>
  <si>
    <t>10.L1.3060.4608</t>
  </si>
  <si>
    <t>10.L1.3060.4609</t>
  </si>
  <si>
    <t>10.L1.3060.4611</t>
  </si>
  <si>
    <t>10.L1.3060.4612</t>
  </si>
  <si>
    <t>10.L1.3060.4613</t>
  </si>
  <si>
    <t>10.L1.3060.4614</t>
  </si>
  <si>
    <t>10.L1.3060.4615</t>
  </si>
  <si>
    <t>10.L1.3060.4616</t>
  </si>
  <si>
    <t>10.L1.3060.4617</t>
  </si>
  <si>
    <t>10.L1.3060.4618</t>
  </si>
  <si>
    <t>10.L1.3060.4619</t>
  </si>
  <si>
    <t>10.L1.3060.4621</t>
  </si>
  <si>
    <t>10.L1.3060.4622</t>
  </si>
  <si>
    <t>10.L1.3060.4623</t>
  </si>
  <si>
    <t>10.L1.3060.4624</t>
  </si>
  <si>
    <t>10.L1.3060.4625</t>
  </si>
  <si>
    <t>10.L1.3060.4626</t>
  </si>
  <si>
    <t>10.L1.3060.4631</t>
  </si>
  <si>
    <t>10.L1.3060.4632</t>
  </si>
  <si>
    <t>10.L1.3060.4633</t>
  </si>
  <si>
    <t>10.L1.3060.5027</t>
  </si>
  <si>
    <t>10.L1.3060.5028</t>
  </si>
  <si>
    <t>10.L1.3060.5029</t>
  </si>
  <si>
    <t>10.L1.3060.5067</t>
  </si>
  <si>
    <t>10.L1.3060.5068</t>
  </si>
  <si>
    <t>10.L1.3060.5069</t>
  </si>
  <si>
    <t>10.L1.3060.5761</t>
  </si>
  <si>
    <t>10.L1.3060.5762</t>
  </si>
  <si>
    <t>10.L1.3060.5763</t>
  </si>
  <si>
    <t>10.L1.3060.5791</t>
  </si>
  <si>
    <t>10.L1.3060.5792</t>
  </si>
  <si>
    <t>10.L1.3060.5793</t>
  </si>
  <si>
    <t>10.L1.3060.68001</t>
  </si>
  <si>
    <t>10.L1.3060.68003</t>
  </si>
  <si>
    <t>10.L1.3060.68004</t>
  </si>
  <si>
    <t>10.L1.3060.68005</t>
  </si>
  <si>
    <t>10.L1.3060.68006</t>
  </si>
  <si>
    <t>10.L1.3060.68007</t>
  </si>
  <si>
    <t>10.L1.3060.68008</t>
  </si>
  <si>
    <t>10.L1.3060.68009</t>
  </si>
  <si>
    <t>10.L1.3060.68011</t>
  </si>
  <si>
    <t>10.L1.3060.68012</t>
  </si>
  <si>
    <t>10.L1.3060.68013</t>
  </si>
  <si>
    <t>10.L1.3060.68014</t>
  </si>
  <si>
    <t>10.L1.3060.68015</t>
  </si>
  <si>
    <t>10.L1.3060.68016</t>
  </si>
  <si>
    <t>10.L1.3060.68017</t>
  </si>
  <si>
    <t>10.L1.3060.68018</t>
  </si>
  <si>
    <t>10.L1.3060.68019</t>
  </si>
  <si>
    <t>10.L1.3060.7801</t>
  </si>
  <si>
    <t>10.L1.3060.7805</t>
  </si>
  <si>
    <t>10.L1.3060.7806</t>
  </si>
  <si>
    <t>10.L1.3060.7821</t>
  </si>
  <si>
    <t>10.L1.3060.7822</t>
  </si>
  <si>
    <t>10.L1.3060.7823</t>
  </si>
  <si>
    <t>10.L1.3060.7831</t>
  </si>
  <si>
    <t>10.L1.3060.7832</t>
  </si>
  <si>
    <t>10.L1.3060.7833</t>
  </si>
  <si>
    <t>10.L1.3060.7837</t>
  </si>
  <si>
    <t>10.L1.3060.7838</t>
  </si>
  <si>
    <t>10.L1.3060.7839</t>
  </si>
  <si>
    <t>10.L1.4080.9951</t>
  </si>
  <si>
    <t>10.L1.4080.9952</t>
  </si>
  <si>
    <t>10.L1.4080.9953</t>
  </si>
  <si>
    <t>10.L1.4080.9954</t>
  </si>
  <si>
    <t>10.L1.4080.9955</t>
  </si>
  <si>
    <t>10.L1.4080.9956</t>
  </si>
  <si>
    <t>10.L1.4080.9957</t>
  </si>
  <si>
    <t>10.L1.4080.9958</t>
  </si>
  <si>
    <t>10.L1.4080.9959</t>
  </si>
  <si>
    <t>10.L1.4080.9962</t>
  </si>
  <si>
    <t>10.L1.4080.9963</t>
  </si>
  <si>
    <t>10.L1.4080.9964</t>
  </si>
  <si>
    <t>10.L1.4080.9965</t>
  </si>
  <si>
    <t>10.L1.4080.9966</t>
  </si>
  <si>
    <t>10.L1.4080.9967</t>
  </si>
  <si>
    <t>10.L1.4080.9968</t>
  </si>
  <si>
    <t>10.L1.4080.9969</t>
  </si>
  <si>
    <t>10.L1.5050.5315</t>
  </si>
  <si>
    <t>10.L1.5050.5316</t>
  </si>
  <si>
    <t>10.L1.5050.5317</t>
  </si>
  <si>
    <t>10.L1.5050.5318</t>
  </si>
  <si>
    <t>10.L1.5050.5319</t>
  </si>
  <si>
    <t>10.L1.5050.5321</t>
  </si>
  <si>
    <t>10.L1.5050.A5315</t>
  </si>
  <si>
    <t>10.L1.5050.A5316</t>
  </si>
  <si>
    <t>10.L1.5050.A5317</t>
  </si>
  <si>
    <t>10.L1.5050.A5318</t>
  </si>
  <si>
    <t>10.L1.5050.A5319</t>
  </si>
  <si>
    <t>10.L1.5050.A5321</t>
  </si>
  <si>
    <t>10.L1.5050.A5322</t>
  </si>
  <si>
    <t>10.L1.6060.5165</t>
  </si>
  <si>
    <t>10.L1.6060.5167</t>
  </si>
  <si>
    <t>10.L1.6060.5168</t>
  </si>
  <si>
    <t>10.L1.6060.5169</t>
  </si>
  <si>
    <t>10.L1.6060.5189</t>
  </si>
  <si>
    <t>10.L1.6060.5191</t>
  </si>
  <si>
    <t>10.L1.6060.5192</t>
  </si>
  <si>
    <t>10.L1.6060.5193</t>
  </si>
  <si>
    <t>10.L1.6060.5194</t>
  </si>
  <si>
    <t>10.L1.6060.5195</t>
  </si>
  <si>
    <t>10.L1.6060.5196</t>
  </si>
  <si>
    <t>10.L1.6060.5613</t>
  </si>
  <si>
    <t>10.L1.6060.5618</t>
  </si>
  <si>
    <t>10.L1.6060.5680</t>
  </si>
  <si>
    <t>10.L1.6060.5685</t>
  </si>
  <si>
    <t>10.L1.6060.5686</t>
  </si>
  <si>
    <t>10.L1.6060.5687</t>
  </si>
  <si>
    <t>10.L1.6060.5688</t>
  </si>
  <si>
    <t>10.L1.6060.5689</t>
  </si>
  <si>
    <t>10.L1.6060.5690</t>
  </si>
  <si>
    <t>10.L1.6060.5711</t>
  </si>
  <si>
    <t>10.L1.6060.5712</t>
  </si>
  <si>
    <t>10.L1.6060.5713</t>
  </si>
  <si>
    <t>10.L1.6060.5714</t>
  </si>
  <si>
    <t>10.L1.6060.5715</t>
  </si>
  <si>
    <t>10.L1.6060.5716</t>
  </si>
  <si>
    <t>10.L1.6060.5717</t>
  </si>
  <si>
    <t>10.L1.6060.5718</t>
  </si>
  <si>
    <t>10.L1.6060.5719</t>
  </si>
  <si>
    <t>10.L1.6060.5721</t>
  </si>
  <si>
    <t>10.L1.6060.5722</t>
  </si>
  <si>
    <t>10.L1.6060.5723</t>
  </si>
  <si>
    <t>10.L1.6060.5724</t>
  </si>
  <si>
    <t>10.L1.6060.5725</t>
  </si>
  <si>
    <t>10.L1.6060.5726</t>
  </si>
  <si>
    <t>10.L1.6060.6103</t>
  </si>
  <si>
    <t>10.L1.6060.6157</t>
  </si>
  <si>
    <t>10.L1.6060.6158</t>
  </si>
  <si>
    <t>10.L1.6060.6159</t>
  </si>
  <si>
    <t>10.L1.6060.6161</t>
  </si>
  <si>
    <t>10.L1.6060.6162</t>
  </si>
  <si>
    <t>10.L1.6060.6163</t>
  </si>
  <si>
    <t>10.L1.6060.74002</t>
  </si>
  <si>
    <t>10.L1.6060.74003</t>
  </si>
  <si>
    <t>10.L1.6060.74005</t>
  </si>
  <si>
    <t>10.L1.6060.74006</t>
  </si>
  <si>
    <t>10.L1.6060.74007</t>
  </si>
  <si>
    <t>10.L1.6060.74008</t>
  </si>
  <si>
    <t>10.L1.6060.75604</t>
  </si>
  <si>
    <t>10.L1.6060.75605</t>
  </si>
  <si>
    <t>10.L1.6060.75606</t>
  </si>
  <si>
    <t>10.L1.8080.5874</t>
  </si>
  <si>
    <t>10.L1.8080.5876</t>
  </si>
  <si>
    <t>10.L1.8080.5877</t>
  </si>
  <si>
    <t>10.L1.8080.5878</t>
  </si>
  <si>
    <t>10.L1.8080.5879</t>
  </si>
  <si>
    <t>10.L1.8080.5880</t>
  </si>
  <si>
    <t>10.L1.8080.5887</t>
  </si>
  <si>
    <t>10.L1.8080.5889</t>
  </si>
  <si>
    <t>10.L1.8080.5891</t>
  </si>
  <si>
    <t>10.L1.8080.5893</t>
  </si>
  <si>
    <t>10.L1.8080.5894</t>
  </si>
  <si>
    <t>10.L1.8080.5895</t>
  </si>
  <si>
    <t>10.L1.8080.5896</t>
  </si>
  <si>
    <t>10.L1.8080.5897</t>
  </si>
  <si>
    <t>10.L1.8080.5898</t>
  </si>
  <si>
    <t>10.L1.8080.5899</t>
  </si>
  <si>
    <t>10.L1.8080.75004</t>
  </si>
  <si>
    <t>10.L1.8080.75005</t>
  </si>
  <si>
    <t>10.L1.8080.75006</t>
  </si>
  <si>
    <t>10.L1.8080.9454</t>
  </si>
  <si>
    <t>10.L1.8080.9455</t>
  </si>
  <si>
    <t>12.L1.2040.2401</t>
  </si>
  <si>
    <t>12.L1.2040.2402</t>
  </si>
  <si>
    <t>12.L1.2040.2403</t>
  </si>
  <si>
    <t>12.L1.2040.2404</t>
  </si>
  <si>
    <t>12.L1.2040.2405</t>
  </si>
  <si>
    <t>12.L1.2040.U2421</t>
  </si>
  <si>
    <t>12.L1.2040.U2422</t>
  </si>
  <si>
    <t>12.L1.2040.U2423</t>
  </si>
  <si>
    <t>12.L1.2040.U2424</t>
  </si>
  <si>
    <t>12.L1.2040.U2425</t>
  </si>
  <si>
    <t>12.L1.2040.U2426</t>
  </si>
  <si>
    <t>12.L1.2040.U2427</t>
  </si>
  <si>
    <t>12.L1.2040.U2428</t>
  </si>
  <si>
    <t>12.L1.2040.U2429</t>
  </si>
  <si>
    <t>12.L1.2040.U2430</t>
  </si>
  <si>
    <t>12.L1.2040.U2431</t>
  </si>
  <si>
    <t>12.L1.2040.U2432</t>
  </si>
  <si>
    <t>12.L1.2040.U2433</t>
  </si>
  <si>
    <t>12.L1.2040.U2434</t>
  </si>
  <si>
    <t>12.L1.2040.U2435</t>
  </si>
  <si>
    <t>12.L1.2550.2501</t>
  </si>
  <si>
    <t>12.L1.2550.2502</t>
  </si>
  <si>
    <t>12.L1.2550.2503</t>
  </si>
  <si>
    <t>12.L1.2550.2504</t>
  </si>
  <si>
    <t>12.L1.2550.2505</t>
  </si>
  <si>
    <t>12.L1.2550.A2518</t>
  </si>
  <si>
    <t>12.L1.2550.A2519</t>
  </si>
  <si>
    <t>12.L1.2550.A2520</t>
  </si>
  <si>
    <t>12.L1.2550.A2521</t>
  </si>
  <si>
    <t>12.L1.2550.A2528</t>
  </si>
  <si>
    <t>12.L1.2550.A2530</t>
  </si>
  <si>
    <t>12.L1.2550.A2532</t>
  </si>
  <si>
    <t>12.L1.2550.A2536</t>
  </si>
  <si>
    <t>12.L1.2550.A2537</t>
  </si>
  <si>
    <t>12.L1.2550.A2539</t>
  </si>
  <si>
    <t>12.L1.2550.U2518</t>
  </si>
  <si>
    <t>12.L1.2550.U2519</t>
  </si>
  <si>
    <t>12.L1.2550.U2520</t>
  </si>
  <si>
    <t>12.L1.2550.U2521</t>
  </si>
  <si>
    <t>12.L1.2550.U2526</t>
  </si>
  <si>
    <t>12.L1.2550.U2527</t>
  </si>
  <si>
    <t>12.L1.2550.U2528</t>
  </si>
  <si>
    <t>12.L1.2550.U2530</t>
  </si>
  <si>
    <t>12.L1.2550.U2531</t>
  </si>
  <si>
    <t>12.L1.2550.U2532</t>
  </si>
  <si>
    <t>12.L1.2550.U2533</t>
  </si>
  <si>
    <t>12.L1.2550.U2534</t>
  </si>
  <si>
    <t>12.L1.2550.U2535</t>
  </si>
  <si>
    <t>12.L1.2550.U2536</t>
  </si>
  <si>
    <t>12.L1.2550.U2537</t>
  </si>
  <si>
    <t>12.L1.2550.U2538</t>
  </si>
  <si>
    <t>12.L1.2550.U2539</t>
  </si>
  <si>
    <t>12.L1.3030.3002</t>
  </si>
  <si>
    <t>12.L1.3030.3005</t>
  </si>
  <si>
    <t>12.L1.3030.3018</t>
  </si>
  <si>
    <t>12.L1.3030.3019</t>
  </si>
  <si>
    <t>12.L1.3030.3020</t>
  </si>
  <si>
    <t>12.L1.3030.3021</t>
  </si>
  <si>
    <t>12.L1.3030.3022</t>
  </si>
  <si>
    <t>12.L1.3030.3023</t>
  </si>
  <si>
    <t>12.L1.3030.3024</t>
  </si>
  <si>
    <t>12.L1.3030.3026</t>
  </si>
  <si>
    <t>14.L1.3030.33316</t>
  </si>
  <si>
    <t>14.L1.3030.33318</t>
  </si>
  <si>
    <t>14.L1.3030.33320</t>
  </si>
  <si>
    <t>14.L1.3030.33408</t>
  </si>
  <si>
    <t>14.L1.3030.33411</t>
  </si>
  <si>
    <t>14.L1.3030.33418</t>
  </si>
  <si>
    <t>14.L1.3060.A36320</t>
  </si>
  <si>
    <t>14.L1.3060.A36320D</t>
  </si>
  <si>
    <t>14.L1.3060.A36420</t>
  </si>
  <si>
    <t>14.L1.3060.A36800</t>
  </si>
  <si>
    <t>14.L1.3060.A36800D</t>
  </si>
  <si>
    <t>14.L1.3060.A36800V</t>
  </si>
  <si>
    <t>14.L1.3060.A36801</t>
  </si>
  <si>
    <t>14.L1.3060.A36801D</t>
  </si>
  <si>
    <t>14.L1.3060.A36801V</t>
  </si>
  <si>
    <t>14.L1.3060.A36810</t>
  </si>
  <si>
    <t>14.L1.3060.A36810D</t>
  </si>
  <si>
    <t>14.L1.3060.A36822</t>
  </si>
  <si>
    <t>14.L1.3060.A36822D</t>
  </si>
  <si>
    <t>14.L1.3060.A36910</t>
  </si>
  <si>
    <t>14.L1.3060.A36922</t>
  </si>
  <si>
    <t>14.L1.3060.A36CB8006</t>
  </si>
  <si>
    <t>14.L1.3060.A36CB8006D</t>
  </si>
  <si>
    <t>14.L1.3060.A36CB8006V</t>
  </si>
  <si>
    <t>14.L1.3060.A36CB8010</t>
  </si>
  <si>
    <t>14.L1.3060.A36CB8010D</t>
  </si>
  <si>
    <t>14.L1.3060.A36CB8010V</t>
  </si>
  <si>
    <t>14.L1.3060.A36CW8005</t>
  </si>
  <si>
    <t>14.L1.3060.A36CW8005D</t>
  </si>
  <si>
    <t>14.L1.3060.A36CW8005V</t>
  </si>
  <si>
    <t>14.L1.3060.A36CW8007</t>
  </si>
  <si>
    <t>14.L1.3060.A36CW8007D</t>
  </si>
  <si>
    <t>14.L1.3060.A36CW8007V</t>
  </si>
  <si>
    <t>14.L1.3060.A36CW8008</t>
  </si>
  <si>
    <t>14.L1.3060.A36CW8008D</t>
  </si>
  <si>
    <t>14.L1.3060.A36CW8008V</t>
  </si>
  <si>
    <t>14.L1.3060.A36CW8009</t>
  </si>
  <si>
    <t>14.L1.3060.A36CW8009D</t>
  </si>
  <si>
    <t>14.L1.3060.A36CW8009V</t>
  </si>
  <si>
    <t>14.L1.3060.A36MA8017</t>
  </si>
  <si>
    <t>14.L1.3060.A36MD9016</t>
  </si>
  <si>
    <t>14.L1.3060.A36MD9016D</t>
  </si>
  <si>
    <t>14.L1.3060.A36MG9012</t>
  </si>
  <si>
    <t>14.L1.3060.A36MG9012D</t>
  </si>
  <si>
    <t>14.L1.3060.A36ML8012</t>
  </si>
  <si>
    <t>14.L1.3060.A36ML8016</t>
  </si>
  <si>
    <t>14.L1.3060.A36MN9017</t>
  </si>
  <si>
    <t>14.L1.3060.A36MN9017D</t>
  </si>
  <si>
    <t>14.L1.3060.A36PG8015</t>
  </si>
  <si>
    <t>14.L1.3060.A36PM9015</t>
  </si>
  <si>
    <t>14.L1.3060.A36PM9015D</t>
  </si>
  <si>
    <t>14.L1.3060.A36PW8000</t>
  </si>
  <si>
    <t>14.L1.3060.A36PW8000D</t>
  </si>
  <si>
    <t>14.L1.3060.A36PW8000V</t>
  </si>
  <si>
    <t>14.L1.3060.A36SG404</t>
  </si>
  <si>
    <t>14.L1.3060.A36SG404D</t>
  </si>
  <si>
    <t>14.L1.3060.A36SG405</t>
  </si>
  <si>
    <t>14.L1.3060.A36SW304</t>
  </si>
  <si>
    <t>14.L1.3060.A36SW305</t>
  </si>
  <si>
    <t>14.L1.3060.US36AG901</t>
  </si>
  <si>
    <t>14.L1.3060.US36AG901D</t>
  </si>
  <si>
    <t>14.L1.3060.US36AW801</t>
  </si>
  <si>
    <t>14.L1.3060.US36CB806</t>
  </si>
  <si>
    <t>14.L1.3060.US36CB902</t>
  </si>
  <si>
    <t>14.L1.3060.US36CB902D</t>
  </si>
  <si>
    <t>14.L1.3060.US36CG802</t>
  </si>
  <si>
    <t>14.L1.3060.US36CG804</t>
  </si>
  <si>
    <t>14.L1.3060.US36CN906</t>
  </si>
  <si>
    <t>14.L1.3060.US36CN906D</t>
  </si>
  <si>
    <t>14.L1.3060.US36CW807</t>
  </si>
  <si>
    <t>14.L1.3060.US36LB907</t>
  </si>
  <si>
    <t>14.L1.3060.US36LB907D</t>
  </si>
  <si>
    <t>14.L1.3060.US36LG904</t>
  </si>
  <si>
    <t>14.L1.3060.US36LG904D</t>
  </si>
  <si>
    <t>14.L1.4080.48800</t>
  </si>
  <si>
    <t>14.L1.4080.48807</t>
  </si>
  <si>
    <t>14.L1.4080.48868</t>
  </si>
  <si>
    <t>14.L1.4080.48907</t>
  </si>
  <si>
    <t>14.L1.4080.48907D</t>
  </si>
  <si>
    <t>14.L1.4080.48968D</t>
  </si>
  <si>
    <t>14.L1.60120.61184061</t>
  </si>
  <si>
    <t>14.L1.60120.61185064</t>
  </si>
  <si>
    <t>14.L1.60120.61286012</t>
  </si>
  <si>
    <t>14.L1.60120.M61LD902</t>
  </si>
  <si>
    <t>14.L1.6060.66181004</t>
  </si>
  <si>
    <t>14.L1.6060.66182031</t>
  </si>
  <si>
    <t>14.L1.6060.66282018</t>
  </si>
  <si>
    <t>14.L1.6060.66383026</t>
  </si>
  <si>
    <t>14.L1.6060.A66CB8052</t>
  </si>
  <si>
    <t>14.L1.6060.A66CG8051</t>
  </si>
  <si>
    <t>14.L1.6060.A66DT8053</t>
  </si>
  <si>
    <t>14.L1.6060.A66EB8058</t>
  </si>
  <si>
    <t>14.L1.6060.A66EG8057</t>
  </si>
  <si>
    <t>14.L1.6060.A66MD8061</t>
  </si>
  <si>
    <t>14.L1.6060.A66MG8054</t>
  </si>
  <si>
    <t>14.L1.6060.A66MW8056</t>
  </si>
  <si>
    <t>14.L1.6060.A66OW8055</t>
  </si>
  <si>
    <t>14.L1.6060.M66LD902</t>
  </si>
  <si>
    <t>14.L1.80120.M81AG905</t>
  </si>
  <si>
    <t>14.L1.80120.M81CB907</t>
  </si>
  <si>
    <t>14.L1.80120.M81DT904</t>
  </si>
  <si>
    <t>14.L1.80120.M81LD902</t>
  </si>
  <si>
    <t>14.L1.80120.M81LG902</t>
  </si>
  <si>
    <t>14.L1.80120.M81MW906</t>
  </si>
  <si>
    <t>14.L1.80120.M81OW903</t>
  </si>
  <si>
    <t>14.L1.8080.88181004</t>
  </si>
  <si>
    <t>14.L1.8080.88282018</t>
  </si>
  <si>
    <t>14.L1.8080.88283003</t>
  </si>
  <si>
    <t>14.L1.8080.88284041</t>
  </si>
  <si>
    <t>14.L1.8080.88285052</t>
  </si>
  <si>
    <t>14.L1.8080.M88AG905</t>
  </si>
  <si>
    <t>14.L1.8080.M88DT904</t>
  </si>
  <si>
    <t>14.L1.8080.M88LD902</t>
  </si>
  <si>
    <t>14.L1.8080.M88LG902</t>
  </si>
  <si>
    <t>14.L1.8080.M88MW909</t>
  </si>
  <si>
    <t>14.L1.8080.M88OW903</t>
  </si>
  <si>
    <t>15.L1.3060.2911</t>
  </si>
  <si>
    <t>15.L1.3060.2912</t>
  </si>
  <si>
    <t>15.L1.3060.2913</t>
  </si>
  <si>
    <t>15.L1.6060.6601</t>
  </si>
  <si>
    <t>15.L1.6060.6602</t>
  </si>
  <si>
    <t>15.L1.6060.6604</t>
  </si>
  <si>
    <t>15.L1.6060.6605</t>
  </si>
  <si>
    <t>15.L1.6060.6606</t>
  </si>
  <si>
    <t>18.CG10.CR.C0000.00</t>
  </si>
  <si>
    <t>20.L1.1580.91151</t>
  </si>
  <si>
    <t>20.L1.1580.91152</t>
  </si>
  <si>
    <t>20.L1.1580.91153</t>
  </si>
  <si>
    <t>20.L1.1580.91154</t>
  </si>
  <si>
    <t>20.L1.1580.91181</t>
  </si>
  <si>
    <t>20.L1.1580.91182</t>
  </si>
  <si>
    <t>20.L1.1580.91183</t>
  </si>
  <si>
    <t>20.L1.1580.91184</t>
  </si>
  <si>
    <t>20.L1.3030.U81101</t>
  </si>
  <si>
    <t>20.L1.3030.U81102</t>
  </si>
  <si>
    <t>20.L1.3030.U81103</t>
  </si>
  <si>
    <t>20.L1.3030.U81104</t>
  </si>
  <si>
    <t>20.L1.3030.U81105</t>
  </si>
  <si>
    <t>20.L1.3030.U81106</t>
  </si>
  <si>
    <t>20.L1.3030.U81107</t>
  </si>
  <si>
    <t>20.L1.3030.U81108</t>
  </si>
  <si>
    <t>20.L1.3030.U81109</t>
  </si>
  <si>
    <t>20.L1.3030.U81110</t>
  </si>
  <si>
    <t>20.L1.3030.U81111</t>
  </si>
  <si>
    <t>20.L1.3030.U81112</t>
  </si>
  <si>
    <t>20.L1.5050.35107</t>
  </si>
  <si>
    <t>20.L1.5050.35108</t>
  </si>
  <si>
    <t>20.L1.5050.35109</t>
  </si>
  <si>
    <t>20.L1.5050.35205</t>
  </si>
  <si>
    <t>20.L1.5050.35207</t>
  </si>
  <si>
    <t>20.L1.5050.35208</t>
  </si>
  <si>
    <t>20.L1.5050.35209</t>
  </si>
  <si>
    <t>20.L1.5050.35210</t>
  </si>
  <si>
    <t>20.L1.5050.35211</t>
  </si>
  <si>
    <t>20.L1.5050.91501</t>
  </si>
  <si>
    <t>20.L1.5050.91502</t>
  </si>
  <si>
    <t>20.L1.5050.91503</t>
  </si>
  <si>
    <t>20.L1.5050.91504</t>
  </si>
  <si>
    <t>20.L1.5050.91505</t>
  </si>
  <si>
    <t>20.L1.5050.91506</t>
  </si>
  <si>
    <t>20.L1.5050.91507</t>
  </si>
  <si>
    <t>20.L1.5050.91508</t>
  </si>
  <si>
    <t>20.L1.6060.16001</t>
  </si>
  <si>
    <t>20.L1.6060.16003</t>
  </si>
  <si>
    <t>20.L1.6060.16004</t>
  </si>
  <si>
    <t>20.L1.6060.16105</t>
  </si>
  <si>
    <t>20.L1.6060.16114</t>
  </si>
  <si>
    <t>20.L1.6060.16117</t>
  </si>
  <si>
    <t>20.L1.6060.16405</t>
  </si>
  <si>
    <t>20.L1.6060.16901</t>
  </si>
  <si>
    <t>20.L1.6060.16902</t>
  </si>
  <si>
    <t>20.L1.6060.16903</t>
  </si>
  <si>
    <t>20.L1.6060.16904</t>
  </si>
  <si>
    <t>20.L1.6060.16905</t>
  </si>
  <si>
    <t>20.L1.6060.16906</t>
  </si>
  <si>
    <t>20.L1.6060.26004</t>
  </si>
  <si>
    <t>20.L1.6060.26006</t>
  </si>
  <si>
    <t>20.L1.6060.26101</t>
  </si>
  <si>
    <t>20.L1.6060.26103</t>
  </si>
  <si>
    <t>20.L1.6060.26107</t>
  </si>
  <si>
    <t>20.L1.6060.26112</t>
  </si>
  <si>
    <t>20.L1.6060.26172</t>
  </si>
  <si>
    <t>20.L1.6060.26901</t>
  </si>
  <si>
    <t>20.L1.6060.26902</t>
  </si>
  <si>
    <t>20.L1.6060.26903</t>
  </si>
  <si>
    <t>20.L1.6060.26904</t>
  </si>
  <si>
    <t>20.L1.6060.26905</t>
  </si>
  <si>
    <t>20.L1.6060.36001</t>
  </si>
  <si>
    <t>20.L1.6060.36002</t>
  </si>
  <si>
    <t>20.L1.6060.36003</t>
  </si>
  <si>
    <t>20.L1.6060.36004</t>
  </si>
  <si>
    <t>20.L1.6060.36005</t>
  </si>
  <si>
    <t>20.L1.6060.36006</t>
  </si>
  <si>
    <t>20.L1.6060.36902</t>
  </si>
  <si>
    <t>20.L1.6060.36903</t>
  </si>
  <si>
    <t>20.L1.6060.36904</t>
  </si>
  <si>
    <t>20.L1.6060.36905</t>
  </si>
  <si>
    <t>20.L1.6060.36906</t>
  </si>
  <si>
    <t>20.L1.6060.86301</t>
  </si>
  <si>
    <t>20.L1.6060.A16904</t>
  </si>
  <si>
    <t>20.L1.6060.A16910</t>
  </si>
  <si>
    <t>20.L1.6060.A16911</t>
  </si>
  <si>
    <t>20.L1.6060.A16912</t>
  </si>
  <si>
    <t>20.L1.6060.A16913</t>
  </si>
  <si>
    <t>20.L1.6060.A16914</t>
  </si>
  <si>
    <t>20.L1.6060.A16915</t>
  </si>
  <si>
    <t>20.L1.6060.A26904</t>
  </si>
  <si>
    <t>20.L1.6060.A26913</t>
  </si>
  <si>
    <t>20.L1.6060.A26914</t>
  </si>
  <si>
    <t>20.L1.6060.A26915</t>
  </si>
  <si>
    <t>20.L1.6060.A26916</t>
  </si>
  <si>
    <t>20.L1.6060.A26917</t>
  </si>
  <si>
    <t>20.L1.6060.A26918</t>
  </si>
  <si>
    <t>20.L1.6060.A36915</t>
  </si>
  <si>
    <t>20.L1.6060.A36918</t>
  </si>
  <si>
    <t>20.L1.6060.A36920</t>
  </si>
  <si>
    <t>20.L1.8080.18117</t>
  </si>
  <si>
    <t>20.L1.8080.18125</t>
  </si>
  <si>
    <t>20.L1.8080.18126</t>
  </si>
  <si>
    <t>20.L1.8080.18127</t>
  </si>
  <si>
    <t>20.L1.8080.18128</t>
  </si>
  <si>
    <t>20.L1.8080.18129</t>
  </si>
  <si>
    <t>20.L1.8080.18901</t>
  </si>
  <si>
    <t>20.L1.8080.18902</t>
  </si>
  <si>
    <t>20.L1.8080.18903</t>
  </si>
  <si>
    <t>20.L1.8080.18904</t>
  </si>
  <si>
    <t>20.L1.8080.18905</t>
  </si>
  <si>
    <t>20.L1.8080.18906</t>
  </si>
  <si>
    <t>20.L1.8080.18913</t>
  </si>
  <si>
    <t>20.L1.8080.18914</t>
  </si>
  <si>
    <t>20.L1.8080.28101</t>
  </si>
  <si>
    <t>20.L1.8080.28107</t>
  </si>
  <si>
    <t>20.L1.8080.28901</t>
  </si>
  <si>
    <t>20.L1.8080.28902</t>
  </si>
  <si>
    <t>20.L1.8080.28903</t>
  </si>
  <si>
    <t>20.L1.8080.28904</t>
  </si>
  <si>
    <t>20.L1.8080.28905</t>
  </si>
  <si>
    <t>20.L1.8080.28906</t>
  </si>
  <si>
    <t>20.L1.8080.28913</t>
  </si>
  <si>
    <t>20.L1.8080.28914</t>
  </si>
  <si>
    <t>20.L1.8080.28915</t>
  </si>
  <si>
    <t>20.L1.8080.28916</t>
  </si>
  <si>
    <t>20.L1.8080.28917</t>
  </si>
  <si>
    <t>20.L1.8080.28918</t>
  </si>
  <si>
    <t>20.L1.8080.38002</t>
  </si>
  <si>
    <t>20.L1.8080.38003</t>
  </si>
  <si>
    <t>20.L1.8080.38006</t>
  </si>
  <si>
    <t>20.L1.8080.38901</t>
  </si>
  <si>
    <t>20.L1.8080.38902</t>
  </si>
  <si>
    <t>20.L1.8080.38904</t>
  </si>
  <si>
    <t>20.L1.8080.38905</t>
  </si>
  <si>
    <t>20.L1.8080.38907</t>
  </si>
  <si>
    <t>20.L1.8080.38917</t>
  </si>
  <si>
    <t>20.L1.8080.38918</t>
  </si>
  <si>
    <t>20.L1.8080.38920</t>
  </si>
  <si>
    <t>20.L1.8080.91851</t>
  </si>
  <si>
    <t>20.L1.8080.91852</t>
  </si>
  <si>
    <t>20.L1.8080.91853</t>
  </si>
  <si>
    <t>20.L1.8080.91854</t>
  </si>
  <si>
    <t>20.L1.8080.91855</t>
  </si>
  <si>
    <t>20.L1.8080.91856</t>
  </si>
  <si>
    <t>20.L1.8080.91857</t>
  </si>
  <si>
    <t>20.L1.8080.91858</t>
  </si>
  <si>
    <t>20.L1.8080.91859</t>
  </si>
  <si>
    <t>20.L1.8080.91860</t>
  </si>
  <si>
    <t>21.C100.DG.MPSET.00</t>
  </si>
  <si>
    <t>21.C100.DG.UNISET.00</t>
  </si>
  <si>
    <t>21.C1T0.DG.KBOND.00</t>
  </si>
  <si>
    <t>21.CG1.CR.SF-CLASSIC.00</t>
  </si>
  <si>
    <t>21.CT.AQUAFLEXR77.GREY18</t>
  </si>
  <si>
    <t>21.CT.PLANISEAL288.25</t>
  </si>
  <si>
    <t>21.PG.MAPELATEXVN.5</t>
  </si>
  <si>
    <t>21.UTRA.LS.KERANET</t>
  </si>
  <si>
    <t>22.C100.DG.TBOND.00</t>
  </si>
  <si>
    <t>22.C100.DG.TPRO2.00</t>
  </si>
  <si>
    <t>22.C100.DG.UNICHEMI.00</t>
  </si>
  <si>
    <t>22.C100.DG.UNITILE.00</t>
  </si>
  <si>
    <t>22.C200.DG.TBOND.00</t>
  </si>
  <si>
    <t>22.CGIW.CR.JOINT.00</t>
  </si>
  <si>
    <t>29.L1.1580.FP15801</t>
  </si>
  <si>
    <t>29.L1.1580.FP15802</t>
  </si>
  <si>
    <t>29.L1.1580.FP15803</t>
  </si>
  <si>
    <t>29.L1.1580.FP15804</t>
  </si>
  <si>
    <t>29.L1.1580.FP15805</t>
  </si>
  <si>
    <t>29.L1.1580.FP15806</t>
  </si>
  <si>
    <t>29.L1.1580.FP15807</t>
  </si>
  <si>
    <t>29.L1.1580.FP15808</t>
  </si>
  <si>
    <t>29.L1.3030.F305</t>
  </si>
  <si>
    <t>29.L1.3030.F308</t>
  </si>
  <si>
    <t>29.L1.3030.F315</t>
  </si>
  <si>
    <t>29.L1.3030.F317</t>
  </si>
  <si>
    <t>29.L1.3030.FK301</t>
  </si>
  <si>
    <t>29.L1.3030.FK302</t>
  </si>
  <si>
    <t>29.L1.3030.FK303</t>
  </si>
  <si>
    <t>29.L1.3030.FK304</t>
  </si>
  <si>
    <t>29.L1.3030.FK305</t>
  </si>
  <si>
    <t>29.L1.3060.FC3604</t>
  </si>
  <si>
    <t>29.L1.3060.FC3604D</t>
  </si>
  <si>
    <t>29.L1.3060.FC3605</t>
  </si>
  <si>
    <t>29.L1.3060.FC3606</t>
  </si>
  <si>
    <t>29.L1.3060.FC3606D</t>
  </si>
  <si>
    <t>29.L1.3060.FC3606V</t>
  </si>
  <si>
    <t>29.L1.3060.FC3610</t>
  </si>
  <si>
    <t>29.L1.3060.FC3610D</t>
  </si>
  <si>
    <t>29.L1.3060.FC3610V</t>
  </si>
  <si>
    <t>29.L1.3060.FC3618</t>
  </si>
  <si>
    <t>29.L1.3060.FC3618D</t>
  </si>
  <si>
    <t>29.L1.3060.FC3619</t>
  </si>
  <si>
    <t>29.L1.3060.FC3622</t>
  </si>
  <si>
    <t>29.L1.3060.FC3622D</t>
  </si>
  <si>
    <t>29.L1.3060.FC3622V</t>
  </si>
  <si>
    <t>29.L1.3060.FC3623</t>
  </si>
  <si>
    <t>29.L1.3060.FC3623D</t>
  </si>
  <si>
    <t>29.L1.3060.FC3623V</t>
  </si>
  <si>
    <t>29.L1.3060.FC3624</t>
  </si>
  <si>
    <t>29.L1.3060.FC3624D</t>
  </si>
  <si>
    <t>29.L1.3060.FC3624V</t>
  </si>
  <si>
    <t>29.L1.3060.FC3625</t>
  </si>
  <si>
    <t>29.L1.3060.FC3625D</t>
  </si>
  <si>
    <t>29.L1.3060.FC3625V</t>
  </si>
  <si>
    <t>29.L1.3060.FC3626</t>
  </si>
  <si>
    <t>29.L1.3060.FC3626D</t>
  </si>
  <si>
    <t>29.L1.3060.FC3626V</t>
  </si>
  <si>
    <t>29.L1.3060.FC3636</t>
  </si>
  <si>
    <t>29.L1.3060.FC3636D</t>
  </si>
  <si>
    <t>29.L1.3060.FC3637</t>
  </si>
  <si>
    <t>29.L1.3060.FC3638</t>
  </si>
  <si>
    <t>29.L1.3060.FC3638D</t>
  </si>
  <si>
    <t>29.L1.3060.FC3639</t>
  </si>
  <si>
    <t>29.L1.3060.FC3640</t>
  </si>
  <si>
    <t>29.L1.3060.FC3640D</t>
  </si>
  <si>
    <t>29.L1.3060.FC3641</t>
  </si>
  <si>
    <t>29.L1.3060.FP3602</t>
  </si>
  <si>
    <t>29.L1.3060.FP3602D</t>
  </si>
  <si>
    <t>29.L1.3060.FP3603</t>
  </si>
  <si>
    <t>29.L1.3060.FP3605</t>
  </si>
  <si>
    <t>29.L1.3060.FP3605D</t>
  </si>
  <si>
    <t>29.L1.3060.FP3607</t>
  </si>
  <si>
    <t>29.L1.3060.FP3616</t>
  </si>
  <si>
    <t>29.L1.3060.FP3616D</t>
  </si>
  <si>
    <t>29.L1.3060.FP3617</t>
  </si>
  <si>
    <t>29.L1.3060.FP3618</t>
  </si>
  <si>
    <t>29.L1.3060.FP3618D</t>
  </si>
  <si>
    <t>29.L1.3060.FP3619</t>
  </si>
  <si>
    <t>29.L1.3060.FP936601</t>
  </si>
  <si>
    <t>29.L1.3060.FP936601V</t>
  </si>
  <si>
    <t>29.L1.3060.FP936602</t>
  </si>
  <si>
    <t>29.L1.3060.FP936602D</t>
  </si>
  <si>
    <t>29.L1.3060.FP936602V</t>
  </si>
  <si>
    <t>29.L1.3060.FP936604</t>
  </si>
  <si>
    <t>29.L1.3060.FP936604D</t>
  </si>
  <si>
    <t>29.L1.3060.FP936605</t>
  </si>
  <si>
    <t>29.L1.3060.FP936606</t>
  </si>
  <si>
    <t>29.L1.3060.FP936606D</t>
  </si>
  <si>
    <t>29.L1.3060.FP936607</t>
  </si>
  <si>
    <t>29.L1.3060.FP936608</t>
  </si>
  <si>
    <t>29.L1.3060.FP936608D</t>
  </si>
  <si>
    <t>29.L1.3060.FP936608V</t>
  </si>
  <si>
    <t>29.L1.3060.FP936609</t>
  </si>
  <si>
    <t>29.L1.3060.FP936609D</t>
  </si>
  <si>
    <t>29.L1.3060.FP936609V</t>
  </si>
  <si>
    <t>29.L1.3060.FP936610</t>
  </si>
  <si>
    <t>29.L1.3060.FP936610D</t>
  </si>
  <si>
    <t>29.L1.3060.FP936611</t>
  </si>
  <si>
    <t>29.L1.3060.FP936612</t>
  </si>
  <si>
    <t>29.L1.3060.FP936612D</t>
  </si>
  <si>
    <t>29.L1.3060.FP936613</t>
  </si>
  <si>
    <t>29.L1.3060.FPH3621</t>
  </si>
  <si>
    <t>29.L1.3060.FPH3621D</t>
  </si>
  <si>
    <t>29.L1.3060.FPH3621V</t>
  </si>
  <si>
    <t>29.L1.3060.FPH3623</t>
  </si>
  <si>
    <t>29.L1.3060.FPH3623D</t>
  </si>
  <si>
    <t>29.L1.3060.FPH3623V</t>
  </si>
  <si>
    <t>29.L1.3060.FPH3624</t>
  </si>
  <si>
    <t>29.L1.3060.FPH3624D</t>
  </si>
  <si>
    <t>29.L1.3060.FPH3624V</t>
  </si>
  <si>
    <t>29.L1.3060.FPH3625</t>
  </si>
  <si>
    <t>29.L1.3060.FPH3625D</t>
  </si>
  <si>
    <t>29.L1.3060.FPH3625V</t>
  </si>
  <si>
    <t>29.L1.3060.FPH3626</t>
  </si>
  <si>
    <t>29.L1.3060.FUSC3621</t>
  </si>
  <si>
    <t>29.L1.3060.FUSC3621D</t>
  </si>
  <si>
    <t>29.L1.3060.FUSC3622</t>
  </si>
  <si>
    <t>29.L1.3060.FUSC3625</t>
  </si>
  <si>
    <t>29.L1.3060.FUSC3625D</t>
  </si>
  <si>
    <t>29.L1.3060.FUSC3626</t>
  </si>
  <si>
    <t>29.L1.3060.FUSC3629</t>
  </si>
  <si>
    <t>29.L1.3060.FUSC3629D</t>
  </si>
  <si>
    <t>29.L1.3060.FUSC3630</t>
  </si>
  <si>
    <t>29.L1.3060.FUSC3631</t>
  </si>
  <si>
    <t>29.L1.3060.FUSC3631D</t>
  </si>
  <si>
    <t>29.L1.3060.FUSC3632</t>
  </si>
  <si>
    <t>29.L1.3060.FUSC3637</t>
  </si>
  <si>
    <t>29.L1.3060.FUSC3637D</t>
  </si>
  <si>
    <t>29.L1.3060.FUSC3638</t>
  </si>
  <si>
    <t>29.L1.3060.FUSC3639</t>
  </si>
  <si>
    <t>29.L1.3060.FUSC3640</t>
  </si>
  <si>
    <t>29.L1.4060.FX46202</t>
  </si>
  <si>
    <t>29.L1.4060.FXK46250</t>
  </si>
  <si>
    <t>29.L1.4060.FXK46251</t>
  </si>
  <si>
    <t>29.L1.4060.FXK46254</t>
  </si>
  <si>
    <t>29.L1.4060.FXK46255</t>
  </si>
  <si>
    <t>29.L1.4060.FXK46256</t>
  </si>
  <si>
    <t>29.L1.4060.FXK46258</t>
  </si>
  <si>
    <t>29.L1.4060.FXU46001</t>
  </si>
  <si>
    <t>29.L1.4060.FXU46002</t>
  </si>
  <si>
    <t>29.L1.4060.FXU46003</t>
  </si>
  <si>
    <t>29.L1.4080.FC4801</t>
  </si>
  <si>
    <t>29.L1.4080.FC4801D</t>
  </si>
  <si>
    <t>29.L1.4080.FC4801V</t>
  </si>
  <si>
    <t>29.L1.4080.FC4802</t>
  </si>
  <si>
    <t>29.L1.4080.FC4802D</t>
  </si>
  <si>
    <t>29.L1.4080.FC4802V</t>
  </si>
  <si>
    <t>29.L1.4080.FC4803</t>
  </si>
  <si>
    <t>29.L1.4080.FC4803D</t>
  </si>
  <si>
    <t>29.L1.4080.FC4803V</t>
  </si>
  <si>
    <t>29.L1.4080.FC4804</t>
  </si>
  <si>
    <t>29.L1.4080.FC4804D</t>
  </si>
  <si>
    <t>29.L1.4080.FC4804V</t>
  </si>
  <si>
    <t>29.L1.4080.FC4805</t>
  </si>
  <si>
    <t>29.L1.4080.FC4805D</t>
  </si>
  <si>
    <t>29.L1.4080.FC4805V</t>
  </si>
  <si>
    <t>29.L1.4080.FC4806</t>
  </si>
  <si>
    <t>29.L1.4080.FC4806D</t>
  </si>
  <si>
    <t>29.L1.4080.FC4806V</t>
  </si>
  <si>
    <t>29.L1.4080.FC4808</t>
  </si>
  <si>
    <t>29.L1.4080.FC4808D</t>
  </si>
  <si>
    <t>29.L1.4080.FC4808V</t>
  </si>
  <si>
    <t>29.L1.4080.FC4809</t>
  </si>
  <si>
    <t>29.L1.4080.FC4809D</t>
  </si>
  <si>
    <t>29.L1.4080.FC4809V</t>
  </si>
  <si>
    <t>29.L1.4080.FP948601</t>
  </si>
  <si>
    <t>29.L1.4080.FP948601D</t>
  </si>
  <si>
    <t>29.L1.4080.FP948601V</t>
  </si>
  <si>
    <t>29.L1.4080.FP948602</t>
  </si>
  <si>
    <t>29.L1.4080.FP948602D</t>
  </si>
  <si>
    <t>29.L1.4080.FP948602V</t>
  </si>
  <si>
    <t>29.L1.4080.FP948603</t>
  </si>
  <si>
    <t>29.L1.4080.FP948603V</t>
  </si>
  <si>
    <t>29.L1.4080.FP948604</t>
  </si>
  <si>
    <t>29.L1.4080.FP948604D</t>
  </si>
  <si>
    <t>29.L1.5050.FC5001</t>
  </si>
  <si>
    <t>29.L1.5050.FC5006</t>
  </si>
  <si>
    <t>29.L1.5050.FCU5507</t>
  </si>
  <si>
    <t>29.L1.5050.FCU5521</t>
  </si>
  <si>
    <t>29.L1.5050.FCU5524</t>
  </si>
  <si>
    <t>29.L1.6060.FP6602</t>
  </si>
  <si>
    <t>29.L1.6060.FP6603</t>
  </si>
  <si>
    <t>29.L1.6060.FP6604</t>
  </si>
  <si>
    <t>29.L1.6060.FP6605</t>
  </si>
  <si>
    <t>29.L1.6060.FP96600</t>
  </si>
  <si>
    <t>29.L1.6060.FP96604</t>
  </si>
  <si>
    <t>29.L1.6060.FP96606</t>
  </si>
  <si>
    <t>29.L1.6060.FP96666</t>
  </si>
  <si>
    <t>29.L1.6060.FPH6001</t>
  </si>
  <si>
    <t>29.L1.6060.FPU6000</t>
  </si>
  <si>
    <t>29.L1.6060.FPU6001</t>
  </si>
  <si>
    <t>29.L1.6060.FPU6002</t>
  </si>
  <si>
    <t>29.L1.6060.FPU6003</t>
  </si>
  <si>
    <t>29.L1.6060.FPU6005</t>
  </si>
  <si>
    <t>29.L1.6060.FPU6006</t>
  </si>
  <si>
    <t>29.L1.6060.FPU6007</t>
  </si>
  <si>
    <t>29.L1.6060.FPU6009</t>
  </si>
  <si>
    <t>29.L1.6060.FPU6010</t>
  </si>
  <si>
    <t>29.L1.6060.FPU6011</t>
  </si>
  <si>
    <t>29.L1.6060.FPU6012</t>
  </si>
  <si>
    <t>29.L1.6060.FPU6013</t>
  </si>
  <si>
    <t>29.L1.6060.FPU6014</t>
  </si>
  <si>
    <t>29.L1.6060.FPU6016</t>
  </si>
  <si>
    <t>29.L1.6060.FPU6017</t>
  </si>
  <si>
    <t>29.L1.6060.FPU6018</t>
  </si>
  <si>
    <t>29.L1.6060.FPU966003</t>
  </si>
  <si>
    <t>29.L1.6060.FPU966009</t>
  </si>
  <si>
    <t>29.L1.8080.FP18601</t>
  </si>
  <si>
    <t>29.L1.8080.FP18607</t>
  </si>
  <si>
    <t>29.L1.8080.FP18666</t>
  </si>
  <si>
    <t>29.L1.8080.FPU188005</t>
  </si>
  <si>
    <t>29.L1.8080.FPU188013</t>
  </si>
  <si>
    <t>29.L1.8080.FPU188017</t>
  </si>
  <si>
    <t>29.L1.8080.FPU188033</t>
  </si>
  <si>
    <t>29.L1.8080.FPU8000</t>
  </si>
  <si>
    <t>29.L1.8080.FPU8001</t>
  </si>
  <si>
    <t>29.L1.8080.FPU8002</t>
  </si>
  <si>
    <t>29.L1.8080.FPU8003</t>
  </si>
  <si>
    <t>29.L1.8080.FPU8005</t>
  </si>
  <si>
    <t>29.L1.8080.FPU8006</t>
  </si>
  <si>
    <t>29.L1.8080.FPU8007</t>
  </si>
  <si>
    <t>29.L1.8080.FPU8011</t>
  </si>
  <si>
    <t>29.L1.8080.FPU8013</t>
  </si>
  <si>
    <t>29.L1.8080.FPU8014</t>
  </si>
  <si>
    <t>29.L1.8080.FPU8016</t>
  </si>
  <si>
    <t>29.L1.8080.FPU8017</t>
  </si>
  <si>
    <t>29.L1.8080.FPU8888</t>
  </si>
  <si>
    <t>31.L1.LEO-100100-001</t>
  </si>
  <si>
    <t>31.L1.LEO-100100-002</t>
  </si>
  <si>
    <t>31.L1.LEO-100100-003</t>
  </si>
  <si>
    <t>31.L1.LEO-100100-004</t>
  </si>
  <si>
    <t>31.L1.LEO-100100-005</t>
  </si>
  <si>
    <t>31.L1.LEO-100100-006</t>
  </si>
  <si>
    <t>31.L1.LEO-100100-007</t>
  </si>
  <si>
    <t>31.L1.LEO-100100-008</t>
  </si>
  <si>
    <t>31.L1.LEO-100100-009</t>
  </si>
  <si>
    <t>31.L1.LEO-100100-010</t>
  </si>
  <si>
    <t>31.L1.LEO-100100-011</t>
  </si>
  <si>
    <t>31.L1.LEO-100100-012</t>
  </si>
  <si>
    <t>32.L1.ACC-080160-001</t>
  </si>
  <si>
    <t>32.L1.ACC-080160-002</t>
  </si>
  <si>
    <t>32.L1.ACC-080160-003</t>
  </si>
  <si>
    <t>32.L1.ACC-080160-004</t>
  </si>
  <si>
    <t>32.L1.ACC-120120-001</t>
  </si>
  <si>
    <t>32.L1.ACC-120120-002</t>
  </si>
  <si>
    <t>32.L1.ACC-120120-003</t>
  </si>
  <si>
    <t>32.L1.ACC-120120-004</t>
  </si>
  <si>
    <t>32.L1.ACC-120120-005</t>
  </si>
  <si>
    <t>32.L1.ACC-120120-006</t>
  </si>
  <si>
    <t>32.L1.ACC-120120-007</t>
  </si>
  <si>
    <t>32.L1.ACC-120120-008</t>
  </si>
  <si>
    <t>32.L1.ACC-120120-009</t>
  </si>
  <si>
    <t>32.L1.ACC-120120-010</t>
  </si>
  <si>
    <t>33.L1.ICO-020120-11002</t>
  </si>
  <si>
    <t>33.L1.ICO-020120-11005</t>
  </si>
  <si>
    <t>33.L1.ICO-020120-13001</t>
  </si>
  <si>
    <t>33.L1.ICO-020120-13003</t>
  </si>
  <si>
    <t>33.L1.ICO-020120-13004</t>
  </si>
  <si>
    <t>33.L1.ICO-060120-001</t>
  </si>
  <si>
    <t>33.L1.ICO-060120-002</t>
  </si>
  <si>
    <t>33.L1.ICO-060120-003</t>
  </si>
  <si>
    <t>33.L1.ICO-060120-004</t>
  </si>
  <si>
    <t>33.L1.ICO-060120-005</t>
  </si>
  <si>
    <t>33.L1.ICO-060120-006</t>
  </si>
  <si>
    <t>33.L1.ICO-060120-007</t>
  </si>
  <si>
    <t>33.L1.ICO-060120-008</t>
  </si>
  <si>
    <t>33.L1.ICO-060120-009</t>
  </si>
  <si>
    <t>33.L1.ICO-080160-001</t>
  </si>
  <si>
    <t>33.L1.ICO-080160-002</t>
  </si>
  <si>
    <t>33.L1.ICO-080160-003</t>
  </si>
  <si>
    <t>33.L1.ICO-080160-004</t>
  </si>
  <si>
    <t>33.L1.ICO-080160-005</t>
  </si>
  <si>
    <t>34.L1.ITA-060120-001</t>
  </si>
  <si>
    <t>34.L1.ITA-060120-002</t>
  </si>
  <si>
    <t>34.L1.ITA-060120-003</t>
  </si>
  <si>
    <t>34.L1.ITA-060120-004</t>
  </si>
  <si>
    <t>34.L1.ITA-060120-005</t>
  </si>
  <si>
    <t>34.L1.ITA-060120-006</t>
  </si>
  <si>
    <t>34.L1.ITA-060120-007</t>
  </si>
  <si>
    <t>34.L1.ITA-060120-008</t>
  </si>
  <si>
    <t>35.C100.DG.B16.00</t>
  </si>
  <si>
    <t>35.C1T0.DG.B18.00</t>
  </si>
  <si>
    <t>35.CG10.CR.B31.00</t>
  </si>
  <si>
    <t>36.L1.3060.USC3601</t>
  </si>
  <si>
    <t>36.L1.3060.USC3601D</t>
  </si>
  <si>
    <t>36.L1.3060.USC3601V</t>
  </si>
  <si>
    <t>36.L1.3060.USC3602</t>
  </si>
  <si>
    <t>36.L1.3060.USC3602D</t>
  </si>
  <si>
    <t>36.L1.3060.USC3602V</t>
  </si>
  <si>
    <t>36.L1.3060.USC3603</t>
  </si>
  <si>
    <t>36.L1.3060.USC3603D</t>
  </si>
  <si>
    <t>36.L1.3060.USC3603V</t>
  </si>
  <si>
    <t>36.L1.3060.USC3604</t>
  </si>
  <si>
    <t>36.L1.3060.USC3604D</t>
  </si>
  <si>
    <t>36.L1.3060.USC3604V</t>
  </si>
  <si>
    <t>36.L1.3060.USC3621</t>
  </si>
  <si>
    <t>36.L1.3060.USC3621D</t>
  </si>
  <si>
    <t>36.L1.3060.USC3622</t>
  </si>
  <si>
    <t>36.L1.3060.USC3623</t>
  </si>
  <si>
    <t>36.L1.3060.USC3623D</t>
  </si>
  <si>
    <t>36.L1.3060.USC3624</t>
  </si>
  <si>
    <t>36.L1.3060.USC3625</t>
  </si>
  <si>
    <t>36.L1.3060.USC3625D</t>
  </si>
  <si>
    <t>36.L1.3060.USC3626</t>
  </si>
  <si>
    <t>36.L1.3060.USC3627</t>
  </si>
  <si>
    <t>36.L1.3060.USC3627D</t>
  </si>
  <si>
    <t>36.L1.3060.USC3628</t>
  </si>
  <si>
    <t>36.L1.3060.USC3629</t>
  </si>
  <si>
    <t>36.L1.3060.USC3629D</t>
  </si>
  <si>
    <t>36.L1.3060.USC3630</t>
  </si>
  <si>
    <t>36.L1.3060.USC3631</t>
  </si>
  <si>
    <t>36.L1.3060.USC3631D</t>
  </si>
  <si>
    <t>36.L1.3060.USC3632</t>
  </si>
  <si>
    <t>36.L1.3060.USC3633</t>
  </si>
  <si>
    <t>36.L1.3060.USC3633D</t>
  </si>
  <si>
    <t>36.L1.3060.USC3634</t>
  </si>
  <si>
    <t>36.L1.3060.USC3635</t>
  </si>
  <si>
    <t>36.L1.3060.USC3635D</t>
  </si>
  <si>
    <t>36.L1.3060.USC3636</t>
  </si>
  <si>
    <t>36.L1.3060.USC3637</t>
  </si>
  <si>
    <t>36.L1.3060.USC3637D</t>
  </si>
  <si>
    <t>36.L1.3060.USC3638</t>
  </si>
  <si>
    <t>36.L1.3060.USC3639</t>
  </si>
  <si>
    <t>36.L1.3060.USC3639D</t>
  </si>
  <si>
    <t>36.L1.3060.USC3640</t>
  </si>
  <si>
    <t>36.L1.3060.USC3641</t>
  </si>
  <si>
    <t>36.L1.3060.USC3641D</t>
  </si>
  <si>
    <t>36.L1.3060.USC3642</t>
  </si>
  <si>
    <t>36.L1.3060.USC3645</t>
  </si>
  <si>
    <t>36.L1.3060.USC3645D</t>
  </si>
  <si>
    <t>36.L1.3060.USC3646</t>
  </si>
  <si>
    <t>36.L1.3060.USC3647</t>
  </si>
  <si>
    <t>36.L1.3060.USC3647D</t>
  </si>
  <si>
    <t>36.L1.3060.USC3648</t>
  </si>
  <si>
    <t>36.L1.3060.USC3649</t>
  </si>
  <si>
    <t>36.L1.3060.USC3649D</t>
  </si>
  <si>
    <t>36.L1.3060.USC3650</t>
  </si>
  <si>
    <t>36.L1.3060.USC3651</t>
  </si>
  <si>
    <t>36.L1.3060.USC3651D</t>
  </si>
  <si>
    <t>36.L1.3060.USC3652</t>
  </si>
  <si>
    <t>37.C100.DG.VINASTAR.00</t>
  </si>
  <si>
    <t>37.C1T0.DG.VNS-PLUS.00</t>
  </si>
  <si>
    <t>37.CG2A.CR.VINASTAR.00</t>
  </si>
  <si>
    <t>38.L1.3060.ICC3600</t>
  </si>
  <si>
    <t>38.L1.3060.ICC3600D</t>
  </si>
  <si>
    <t>38.L1.3060.ICC3600V</t>
  </si>
  <si>
    <t>38.L1.3060.ICC3601</t>
  </si>
  <si>
    <t>38.L1.3060.ICC3601V</t>
  </si>
  <si>
    <t>38.L1.3060.ICC3602</t>
  </si>
  <si>
    <t>38.L1.3060.ICC3602D</t>
  </si>
  <si>
    <t>38.L1.3060.ICC3602V</t>
  </si>
  <si>
    <t>38.L1.3060.ICC3603</t>
  </si>
  <si>
    <t>38.L1.3060.ICC3603D</t>
  </si>
  <si>
    <t>38.L1.3060.ICC3604</t>
  </si>
  <si>
    <t>38.L1.3060.ICC3605</t>
  </si>
  <si>
    <t>38.L1.3060.ICC3605D</t>
  </si>
  <si>
    <t>38.L1.3060.ICC3606</t>
  </si>
  <si>
    <t>38.L1.3060.ICC3607</t>
  </si>
  <si>
    <t>38.L1.3060.ICC3607D</t>
  </si>
  <si>
    <t>38.L1.3060.ICC3608</t>
  </si>
  <si>
    <t>38.L1.3060.KAI3600</t>
  </si>
  <si>
    <t>38.L1.3060.KAI3600V</t>
  </si>
  <si>
    <t>38.L1.3060.KAI3601</t>
  </si>
  <si>
    <t>38.L1.3060.KAI3601AV</t>
  </si>
  <si>
    <t>38.L1.3060.KAI3601BD</t>
  </si>
  <si>
    <t>38.L1.3060.KAI3601BV</t>
  </si>
  <si>
    <t>38.L1.3060.KAI3603</t>
  </si>
  <si>
    <t>38.L1.3060.KAI3603D</t>
  </si>
  <si>
    <t>38.L1.3060.KAI3604</t>
  </si>
  <si>
    <t>38.L1.3060.KAI3605</t>
  </si>
  <si>
    <t>38.L1.3060.KAI3605D</t>
  </si>
  <si>
    <t>38.L1.3060.KAI3606</t>
  </si>
  <si>
    <t>38.L1.3060.UGC3600AD</t>
  </si>
  <si>
    <t>38.L1.3060.UGC3602BV</t>
  </si>
  <si>
    <t>38.L1.5050.SVICC501</t>
  </si>
  <si>
    <t>38.L1.5050.SVICC502</t>
  </si>
  <si>
    <t>38.L1.5050.SVICC504</t>
  </si>
  <si>
    <t>38.L1.5050.SVICC505</t>
  </si>
  <si>
    <t>38.L1.5050.SVICC506</t>
  </si>
  <si>
    <t>38.L1.5050.SVICC507</t>
  </si>
  <si>
    <t>38.L1.5050.SVICC508</t>
  </si>
  <si>
    <t>38.L1.5050.SVICC509</t>
  </si>
  <si>
    <t>38.L1.5050.SVKAI501</t>
  </si>
  <si>
    <t>38.L1.5050.SVKAI503</t>
  </si>
  <si>
    <t>38.L1.5050.SVKAI506</t>
  </si>
  <si>
    <t>38.L1.5050.SVKAI507</t>
  </si>
  <si>
    <t>38.L1.5050.SVUSC505</t>
  </si>
  <si>
    <t>38.L1.5050.SVUSC507</t>
  </si>
  <si>
    <t>39.L1.3060.USGM3601</t>
  </si>
  <si>
    <t>39.L1.3060.USGM3602</t>
  </si>
  <si>
    <t>39.L1.3060.USGM3603</t>
  </si>
  <si>
    <t>39.L1.3060.USGM3604</t>
  </si>
  <si>
    <t>39.L1.3060.USGM3605</t>
  </si>
  <si>
    <t>39.L1.3060.USGM3606</t>
  </si>
  <si>
    <t>39.L1.3060.USGM3607</t>
  </si>
  <si>
    <t>39.L1.3060.USGM3608</t>
  </si>
  <si>
    <t>39.L1.3060.USGM3609</t>
  </si>
  <si>
    <t>39.L1.3060.USGM3610</t>
  </si>
  <si>
    <t>39.L1.3060.USGM3611</t>
  </si>
  <si>
    <t>39.L1.3060.USGM3612</t>
  </si>
  <si>
    <t>39.L1.3060.USGM3613</t>
  </si>
  <si>
    <t>39.L1.3060.USGM3614</t>
  </si>
  <si>
    <t>39.L1.3060.USGM3615</t>
  </si>
  <si>
    <t>39.L1.3060.USGM3616</t>
  </si>
  <si>
    <t>39.L1.3060.USGM3617</t>
  </si>
  <si>
    <t>39.L1.3060.USGM3618</t>
  </si>
  <si>
    <t>39.L1.3060.USGM3619</t>
  </si>
  <si>
    <t>39.L1.3060.USGM3620</t>
  </si>
  <si>
    <t>39.L1.4080.USG48012</t>
  </si>
  <si>
    <t>39.L1.4080.USG48013</t>
  </si>
  <si>
    <t>39.L1.4080.USG48014</t>
  </si>
  <si>
    <t>39.L1.4080.USG48017</t>
  </si>
  <si>
    <t>39.L1.6060.UGG6001</t>
  </si>
  <si>
    <t>39.L1.6060.UGG6003</t>
  </si>
  <si>
    <t>39.L1.6060.UGG6004</t>
  </si>
  <si>
    <t>39.L1.6060.UGG6006</t>
  </si>
  <si>
    <t>39.L1.6060.UGG6007</t>
  </si>
  <si>
    <t>39.L1.6060.UGG6010</t>
  </si>
  <si>
    <t>39.L1.6060.USGM6001</t>
  </si>
  <si>
    <t>39.L1.6060.USGM6002</t>
  </si>
  <si>
    <t>39.L1.6060.USGM6003</t>
  </si>
  <si>
    <t>39.L1.6060.USGM6004</t>
  </si>
  <si>
    <t>39.L1.6060.USGM6005</t>
  </si>
  <si>
    <t>39.L1.6060.USGM6006</t>
  </si>
  <si>
    <t>39.L1.6060.USGM6007</t>
  </si>
  <si>
    <t>39.L1.6060.USGM6008</t>
  </si>
  <si>
    <t>40.L1.3060.UGC3600</t>
  </si>
  <si>
    <t>40.L1.3060.UGC3600AD</t>
  </si>
  <si>
    <t>40.L1.3060.UGC3600AV</t>
  </si>
  <si>
    <t>40.L1.3060.UGC3600BD</t>
  </si>
  <si>
    <t>40.L1.3060.UGC3600BV</t>
  </si>
  <si>
    <t>40.L1.3060.UGC3602</t>
  </si>
  <si>
    <t>40.L1.3060.UGC3602AD</t>
  </si>
  <si>
    <t>40.L1.3060.UGC3602AV</t>
  </si>
  <si>
    <t>40.L1.3060.UGC3602BD</t>
  </si>
  <si>
    <t>40.L1.3060.UGC3602BV</t>
  </si>
  <si>
    <t>40.L1.3060.USC3601</t>
  </si>
  <si>
    <t>40.L1.3060.USC3601D</t>
  </si>
  <si>
    <t>40.L1.3060.USC3601V</t>
  </si>
  <si>
    <t>40.L1.3060.USC3602</t>
  </si>
  <si>
    <t>40.L1.3060.USC3602D</t>
  </si>
  <si>
    <t>40.L1.3060.USC3602V</t>
  </si>
  <si>
    <t>40.L1.3060.USC3603</t>
  </si>
  <si>
    <t>40.L1.3060.USC3603D</t>
  </si>
  <si>
    <t>40.L1.3060.USC3603V</t>
  </si>
  <si>
    <t>40.L1.3060.USC3604</t>
  </si>
  <si>
    <t>40.L1.3060.USC3604V</t>
  </si>
  <si>
    <t>41.L1.3060.M3101</t>
  </si>
  <si>
    <t>41.L1.3060.M3102</t>
  </si>
  <si>
    <t>41.L1.3060.M3103</t>
  </si>
  <si>
    <t>41.L1.3060.M3104</t>
  </si>
  <si>
    <t>41.L1.3060.M3201</t>
  </si>
  <si>
    <t>41.L1.3060.M3203</t>
  </si>
  <si>
    <t>41.L1.3060.U3101</t>
  </si>
  <si>
    <t>41.L1.3060.U3102</t>
  </si>
  <si>
    <t>41.L1.3060.U3103</t>
  </si>
  <si>
    <t>41.L1.3060.U3104</t>
  </si>
  <si>
    <t>41.L1.3060.U3107</t>
  </si>
  <si>
    <t>41.L1.3060.U3108</t>
  </si>
  <si>
    <t>41.L1.3060.U3201</t>
  </si>
  <si>
    <t>41.L1.3060.U3203</t>
  </si>
  <si>
    <t>41.L1.4080.M4102</t>
  </si>
  <si>
    <t>41.L1.4080.M4103</t>
  </si>
  <si>
    <t>41.L1.4080.M4104</t>
  </si>
  <si>
    <t>41.L1.4080.U4102</t>
  </si>
  <si>
    <t>41.L1.5050.M5102</t>
  </si>
  <si>
    <t>41.L1.5050.M5103</t>
  </si>
  <si>
    <t>41.L1.5050.M5104</t>
  </si>
  <si>
    <t>41.L1.5050.M5105</t>
  </si>
  <si>
    <t>41.L1.5050.M5151</t>
  </si>
  <si>
    <t>41.L1.5050.M5152</t>
  </si>
  <si>
    <t>41.L1.5050.M5153</t>
  </si>
  <si>
    <t>41.L1.5050.M5154</t>
  </si>
  <si>
    <t>41.L1.5050.M5155</t>
  </si>
  <si>
    <t>41.L1.5050.M5190</t>
  </si>
  <si>
    <t>41.L1.5050.M5191</t>
  </si>
  <si>
    <t>41.L1.5050.M5192</t>
  </si>
  <si>
    <t>41.L1.5050.M5193</t>
  </si>
  <si>
    <t>41.L1.5050.S5101</t>
  </si>
  <si>
    <t>41.L1.5050.S5102</t>
  </si>
  <si>
    <t>41.L1.5050.S5103</t>
  </si>
  <si>
    <t>41.L1.5050.S5104</t>
  </si>
  <si>
    <t>41.L1.5050.U5101</t>
  </si>
  <si>
    <t>41.L1.5050.U5102</t>
  </si>
  <si>
    <t>41.L1.5050.U5103</t>
  </si>
  <si>
    <t>41.L1.5050.U5104</t>
  </si>
  <si>
    <t>41.L1.5050.U5151</t>
  </si>
  <si>
    <t>41.L1.5050.U5152</t>
  </si>
  <si>
    <t>41.L1.5050.U5153</t>
  </si>
  <si>
    <t>41.L1.5050.U5154</t>
  </si>
  <si>
    <t>41.L1.5050.U5155</t>
  </si>
  <si>
    <t>41.L1.6060.M6101</t>
  </si>
  <si>
    <t>41.L1.6060.M6102</t>
  </si>
  <si>
    <t>41.L1.6060.M6103</t>
  </si>
  <si>
    <t>41.L1.6060.M6105</t>
  </si>
  <si>
    <t>41.L1.6060.M6106</t>
  </si>
  <si>
    <t>41.L1.6060.M6151</t>
  </si>
  <si>
    <t>41.L1.6060.M6152</t>
  </si>
  <si>
    <t>41.L1.6060.M6153</t>
  </si>
  <si>
    <t>41.L1.6060.M6154</t>
  </si>
  <si>
    <t>41.L1.6060.M6155</t>
  </si>
  <si>
    <t>41.L1.6060.S6101</t>
  </si>
  <si>
    <t>41.L1.6060.S6102</t>
  </si>
  <si>
    <t>41.L1.6060.S6103</t>
  </si>
  <si>
    <t>41.L1.6060.S6151</t>
  </si>
  <si>
    <t>41.L1.6060.S6152</t>
  </si>
  <si>
    <t>41.L1.6060.S6153</t>
  </si>
  <si>
    <t>41.L1.6060.U6101</t>
  </si>
  <si>
    <t>41.L1.6060.U6102</t>
  </si>
  <si>
    <t>41.L1.6060.U6103</t>
  </si>
  <si>
    <t>41.L1.6060.U6104</t>
  </si>
  <si>
    <t>41.L1.6060.U6105</t>
  </si>
  <si>
    <t>41.L1.6060.U6151</t>
  </si>
  <si>
    <t>41.L1.6060.U6152</t>
  </si>
  <si>
    <t>41.L1.6060.U6153</t>
  </si>
  <si>
    <t>41.L1.6060.U6154</t>
  </si>
  <si>
    <t>41.L1.6060.U6155</t>
  </si>
  <si>
    <t>43.HC.ALSN3.TRONG</t>
  </si>
  <si>
    <t>43.HC.ALSN5.TRANG</t>
  </si>
  <si>
    <t>Tổng cộng</t>
  </si>
  <si>
    <t>SUM của Tổng Sản Lượng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</si>
</sst>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C0C0C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fsku_classification_results!$I$2</c:f>
            </c:strRef>
          </c:cat>
          <c:val>
            <c:numRef>
              <c:f>fsku_classification_results!$J$2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fsku_classification_results!$I$2</c:f>
            </c:strRef>
          </c:cat>
          <c:val>
            <c:numRef>
              <c:f>fsku_classification_results!$K$2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fsku_classification_results!$I$2</c:f>
            </c:strRef>
          </c:cat>
          <c:val>
            <c:numRef>
              <c:f>fsku_classification_results!$L$2</c:f>
              <c:numCache/>
            </c:numRef>
          </c:val>
        </c:ser>
        <c:ser>
          <c:idx val="3"/>
          <c:order val="3"/>
          <c:cat>
            <c:strRef>
              <c:f>fsku_classification_results!$I$2</c:f>
            </c:strRef>
          </c:cat>
          <c:val>
            <c:numRef>
              <c:f>fsku_classification_results!$I$5</c:f>
              <c:numCache/>
            </c:numRef>
          </c:val>
        </c:ser>
        <c:ser>
          <c:idx val="4"/>
          <c:order val="4"/>
          <c:cat>
            <c:strRef>
              <c:f>fsku_classification_results!$I$2</c:f>
            </c:strRef>
          </c:cat>
          <c:val>
            <c:numRef>
              <c:f>fsku_classification_results!$J$5</c:f>
              <c:numCache/>
            </c:numRef>
          </c:val>
        </c:ser>
        <c:ser>
          <c:idx val="5"/>
          <c:order val="5"/>
          <c:cat>
            <c:strRef>
              <c:f>fsku_classification_results!$I$2</c:f>
            </c:strRef>
          </c:cat>
          <c:val>
            <c:numRef>
              <c:f>fsku_classification_results!$K$5</c:f>
              <c:numCache/>
            </c:numRef>
          </c:val>
        </c:ser>
        <c:ser>
          <c:idx val="6"/>
          <c:order val="6"/>
          <c:cat>
            <c:strRef>
              <c:f>fsku_classification_results!$I$2</c:f>
            </c:strRef>
          </c:cat>
          <c:val>
            <c:numRef>
              <c:f>fsku_classification_results!$L$5</c:f>
              <c:numCache/>
            </c:numRef>
          </c:val>
        </c:ser>
        <c:axId val="709140856"/>
        <c:axId val="1225191957"/>
      </c:barChart>
      <c:catAx>
        <c:axId val="709140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191957"/>
      </c:catAx>
      <c:valAx>
        <c:axId val="1225191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140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7</xdr:row>
      <xdr:rowOff>123825</xdr:rowOff>
    </xdr:from>
    <xdr:ext cx="5715000" cy="3533775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868" sheet="fsku_classification_results"/>
  </cacheSource>
  <cacheFields>
    <cacheField name="fsku" numFmtId="0">
      <sharedItems>
        <s v="02.L1.6060.7250"/>
        <s v="02.L1.6060.7341"/>
        <s v="03.L1.3060.68416"/>
        <s v="03.L1.3060.7368"/>
        <s v="05.L1.3060.USG36001"/>
        <s v="05.L1.3060.USG36001D"/>
        <s v="05.L1.3060.USG36001V"/>
        <s v="05.L1.3060.USG36002"/>
        <s v="05.L1.3060.USG36002V"/>
        <s v="05.L1.3060.USG36003"/>
        <s v="05.L1.3060.USG36003D"/>
        <s v="05.L1.3060.USG36004"/>
        <s v="05.L1.3060.USG36005"/>
        <s v="05.L1.3060.USG36005D"/>
        <s v="05.L1.3060.USG36006"/>
        <s v="05.L1.3060.USG36009D"/>
        <s v="05.L2.6060.IP6002"/>
        <s v="05.L2.6060.IP6003"/>
        <s v="05.L2.6060.IP6005"/>
        <s v="05.L2.6060.IP6006"/>
        <s v="05.L2.6060.IP6007"/>
        <s v="05.L2.8080.IP8005"/>
        <s v="05.L2.8080.IP8006"/>
        <s v="10.L1.6060.6106"/>
        <s v="10.L2.3060.4549"/>
        <s v="10.L2.3060.4551"/>
        <s v="10.L2.3060.4552"/>
        <s v="10.L2.3060.4553"/>
        <s v="10.L2.3060.4555"/>
        <s v="10.L2.3060.4557"/>
        <s v="10.L2.3060.4564"/>
        <s v="10.L2.3060.4565"/>
        <s v="10.L2.3060.4567"/>
        <s v="10.L2.3060.4569"/>
        <s v="10.L2.3060.5791"/>
        <s v="10.L2.3060.5793"/>
        <s v="10.L2.6060.5167"/>
        <s v="10.L2.6060.5168"/>
        <s v="10.L2.6060.5191"/>
        <s v="10.L2.6060.5195"/>
        <s v="10.L2.6060.5618"/>
        <s v="10.L2.6060.6103"/>
        <s v="10.L2.6060.6157"/>
        <s v="10.L3.3060.4554"/>
        <s v="10.L3.3060.4621"/>
        <s v="10.L3.3060.4623"/>
        <s v="10.L3.3060.4624"/>
        <s v="10.L3.3060.4626"/>
        <s v="10.L3.3060.4631"/>
        <s v="10.L3.3060.4633"/>
        <s v="10.L3.3060.5067"/>
        <s v="12.L1.2550.U2540"/>
        <s v="14.L1.1590.AF091973001"/>
        <s v="14.L1.3060.36800V"/>
        <s v="14.L1.3060.36801V"/>
        <s v="14.L1.3060.36810"/>
        <s v="14.L1.3060.A36610"/>
        <s v="14.L1.3060.M36BL603"/>
        <s v="14.L1.60120.61432051"/>
        <s v="14.L1.60120.M61ST301"/>
        <s v="14.L1.60120.US6861"/>
        <s v="14.L1.6060.MS66199902"/>
        <s v="14.L1.8012.BL81807"/>
        <s v="14.L3.3060.A36822D"/>
        <s v="14.L3.3060.A36AG403"/>
        <s v="14.L3.6060.MS66199902"/>
        <s v="14.L3.8080.AF10888008"/>
        <s v="15.L2.6060.6601"/>
        <s v="15.L2.6060.6602"/>
        <s v="15.L3.6060.6601"/>
        <s v="15.L3.6060.6602"/>
        <s v="15.L3.6060.6604"/>
        <s v="20.L1.5050.35101"/>
        <s v="20.L1.5050.35102"/>
        <s v="20.L1.5050.35111"/>
        <s v="20.L1.5050.35112"/>
        <s v="20.L1.8080.28908"/>
        <s v="20.L1.8080.38903"/>
        <s v="20.L1.8080.38908"/>
        <s v="20.L1.8080.38909"/>
        <s v="20.L1.8080.38910"/>
        <s v="21.C1T0.DG.KSET.00"/>
        <s v="21.C2TE.DG.ADESP9.01"/>
        <s v="21.CG2WA.CR.SF.111"/>
        <s v="21.CG2WA.CR.SF.112"/>
        <s v="21.CG2WA.CR.SF.113"/>
        <s v="21.CT.AQUAFLEXR77.W18"/>
        <s v="25.L1.3060.FP3607"/>
        <s v="25.L1.3060.FP936601D"/>
        <s v="25.L1.3060.FP936602D"/>
        <s v="25.L1.3060.FP936609D"/>
        <s v="25.L1.6060.FP6604"/>
        <s v="25.L1.6060.FPU6006"/>
        <s v="25.L1.6060.FPU6010"/>
        <s v="25.L1.6060.FPU6014"/>
        <s v="25.L1.6060.FPU6018"/>
        <s v="25.L1.8080.FP18607"/>
        <s v="25.L1.8080.FPU188011"/>
        <s v="25.L2.6060.FP96666"/>
        <s v="26.L1.3060.C9806"/>
        <s v="27.L1.6060.DIC6644"/>
        <s v="29.L1.3060.FC3609T"/>
        <s v="29.L1.3060.FC3619T"/>
        <s v="29.L1.5050.FC5005"/>
        <s v="29.L1.5050.FCU5516"/>
        <s v="29.L2.8080.FPU188003"/>
        <s v="29.L2.8080.FPU8007"/>
        <s v="29.L2.8080.FPU8013"/>
        <s v="36.L1.6060.N6002"/>
        <s v="36.L1.8080.IP8002"/>
        <s v="36.L2.3060.USC3603V"/>
        <s v="36.L2.3060.USC3604D"/>
        <s v="36.L2.3060.USC3621"/>
        <s v="36.L2.3060.USC3622"/>
        <s v="36.L2.3060.USC3623"/>
        <s v="36.L2.3060.USC3624"/>
        <s v="36.L2.3060.USC3626"/>
        <s v="36.L2.3060.USC3627"/>
        <s v="36.L2.3060.USC3629"/>
        <s v="36.L2.3060.USC3631"/>
        <s v="36.L2.3060.USC3631D"/>
        <s v="36.L2.3060.USC3633"/>
        <s v="36.L2.3060.USC3637"/>
        <s v="36.L2.3060.USC3638"/>
        <s v="36.L2.3060.USC3639"/>
        <s v="36.L2.3060.USC3640"/>
        <s v="36.L2.3060.USC3641"/>
        <s v="36.L2.6060.IP6001"/>
        <s v="36.L2.6060.IP6002"/>
        <s v="36.L2.6060.IP6003"/>
        <s v="36.L2.6060.IP6004"/>
        <s v="36.L2.6060.IP6005"/>
        <s v="36.L2.6060.IP6006"/>
        <s v="36.L2.6060.IP6007"/>
        <s v="36.L2.6060.N6002"/>
        <s v="36.L2.8080.IP8001"/>
        <s v="36.L2.8080.IP8002"/>
        <s v="36.L2.8080.IP8003"/>
        <s v="36.L2.8080.IP8004"/>
        <s v="36.L2.8080.IP8005"/>
        <s v="36.L2.8080.IP8006"/>
        <s v="36.L2.8080.IP8007"/>
        <s v="36.L3.3060.USC3601D"/>
        <s v="36.L3.3060.USC3602D"/>
        <s v="36.L3.3060.USC3602V"/>
        <s v="36.L3.3060.USC3603D"/>
        <s v="36.L3.3060.USC3603V"/>
        <s v="36.L3.3060.USC3604D"/>
        <s v="36.L3.3060.USC3621"/>
        <s v="36.L3.3060.USC3622"/>
        <s v="36.L3.3060.USC3623"/>
        <s v="36.L3.3060.USC3624"/>
        <s v="36.L3.3060.USC3625"/>
        <s v="36.L3.3060.USC3626"/>
        <s v="36.L3.3060.USC3627"/>
        <s v="36.L3.3060.USC3628"/>
        <s v="36.L3.3060.USC3629"/>
        <s v="36.L3.3060.USC3629D"/>
        <s v="36.L3.3060.USC3630"/>
        <s v="36.L3.3060.USC3631"/>
        <s v="36.L3.3060.USC3632"/>
        <s v="36.L3.3060.USC3633"/>
        <s v="36.L3.3060.USC3635D"/>
        <s v="36.L3.3060.USC3637"/>
        <s v="36.L3.3060.USC3638"/>
        <s v="36.L3.3060.USC3639"/>
        <s v="36.L3.3060.USC3640"/>
        <s v="36.L3.3060.USC3641"/>
        <s v="36.L3.3060.USC3642"/>
        <s v="36.L3.6060.IP6001"/>
        <s v="36.L3.6060.IP6002"/>
        <s v="36.L3.6060.IP6003"/>
        <s v="36.L3.6060.IP6004"/>
        <s v="36.L3.6060.IP6005"/>
        <s v="36.L3.6060.IP6006"/>
        <s v="36.L3.6060.IP6007"/>
        <s v="36.L3.8080.IP8001"/>
        <s v="36.L3.8080.IP8002"/>
        <s v="36.L3.8080.IP8003"/>
        <s v="36.L3.8080.IP8004"/>
        <s v="36.L3.8080.IP8005"/>
        <s v="36.L3.8080.IP8007"/>
        <s v="38.L2.3060.ICC3600"/>
        <s v="38.L2.3060.ICC3600D"/>
        <s v="38.L2.3060.ICC3600V"/>
        <s v="38.L2.3060.ICC3601"/>
        <s v="38.L2.3060.ICC3601D"/>
        <s v="38.L2.3060.ICC3601V"/>
        <s v="38.L2.3060.ICC3602"/>
        <s v="38.L2.3060.ICC3602D"/>
        <s v="38.L2.3060.ICC3602V"/>
        <s v="38.L2.3060.ICC3603"/>
        <s v="38.L2.3060.ICC3603D"/>
        <s v="38.L2.3060.ICC3604"/>
        <s v="38.L2.3060.ICC3605"/>
        <s v="38.L2.3060.ICC3605D"/>
        <s v="38.L2.3060.ICC3606"/>
        <s v="38.L2.3060.ICC3607"/>
        <s v="38.L2.3060.ICC3607D"/>
        <s v="38.L2.3060.ICC3608"/>
        <s v="38.L2.3060.UGC3600"/>
        <s v="38.L2.3060.UGC3600AV"/>
        <s v="38.L2.3060.UGC3602"/>
        <s v="38.L2.3060.UGC3602AV"/>
        <s v="39.L2.3060.USGM3601"/>
        <s v="39.L2.3060.USGM3602"/>
        <s v="39.L2.3060.USGM3603"/>
        <s v="39.L2.3060.USGM3613"/>
        <s v="39.L2.3060.USGM3619"/>
        <s v="39.L2.4080.USG48012"/>
        <s v="39.L2.6060.UGG6001"/>
        <s v="39.L2.6060.UGG6004"/>
        <s v="39.L2.6060.UGG6006"/>
        <s v="39.L2.6060.UGG6007"/>
        <s v="39.L2.6060.UGG6010"/>
        <s v="39.L3.6060.UGG6001"/>
        <s v="39.L3.6060.UGG6003"/>
        <s v="39.L3.6060.UGG6004"/>
        <s v="39.L3.6060.UGG6006"/>
        <s v="39.L3.6060.UGG6007"/>
        <s v="39.L3.6060.UGG6010"/>
        <s v="39.L3.6060.USGM6008"/>
        <s v="41.L1.4080.MT483001"/>
        <s v="41.L1.4080.MT483001D"/>
        <s v="41.L1.4080.MT483001V"/>
        <s v="41.L1.4080.MT483002B"/>
        <s v="41.L1.4080.MT483002D"/>
        <s v="41.L1.4080.MT483002W"/>
        <s v="41.L1.4080.S4204"/>
        <s v="41.L1.4080.UT483001"/>
        <s v="41.L1.4080.UT483001D"/>
        <s v="41.L1.4080.UT483001V"/>
        <s v="41.L1.4080.UT483002B"/>
        <s v="41.L1.4080.UT483002W"/>
        <s v="41.L1.5050.UT552002"/>
        <s v="41.L1.6060.6106"/>
        <s v="41.L1.6060.6201"/>
        <s v="41.L1.6060.6202"/>
        <s v="41.L1.6060.6203"/>
        <s v="41.L1.6060.AM6157"/>
        <s v="41.L1.6060.MT663001"/>
        <s v="41.L1.6060.MT663002"/>
        <s v="41.L1.6060.MT663003"/>
        <s v="41.L1.6060.MT663004"/>
        <s v="41.L1.6060.MT663005"/>
        <s v="41.L1.6060.UT663001"/>
        <s v="41.L1.6060.UT663003"/>
        <s v="41.L1.6060.UT663004"/>
        <s v="41.L1.8080.MS883001"/>
        <s v="41.L1.8080.MS883002"/>
        <s v="41.L1.8080.MS883003"/>
        <s v="41.L1.8080.MS883006"/>
        <s v="41.L1.8080.MT883001"/>
        <s v="41.L1.8080.MT883002"/>
        <s v="41.L1.8080.MT883003"/>
        <s v="41.L1.8080.MT883004"/>
        <s v="41.L1.8080.MT883006"/>
        <s v="41.L1.8080.UT883001"/>
        <s v="41.L1.8080.UT883002"/>
        <s v="41.L1.8080.UT883003"/>
        <s v="41.L1.8080.UT883004"/>
        <s v="41.L1.8080.UT883006"/>
        <s v="41.L2.3060.D3209"/>
        <s v="41.L2.3060.R3101"/>
        <s v="41.L2.3060.R3103"/>
        <s v="41.L2.3060.R3104"/>
        <s v="41.L2.3060.R3106"/>
        <s v="41.L2.3060.R3107"/>
        <s v="41.L2.3060.R3108"/>
        <s v="41.L2.3060.R3109"/>
        <s v="41.L2.3060.R3114"/>
        <s v="41.L2.3060.R3116"/>
        <s v="41.L2.3060.R3201"/>
        <s v="41.L2.3060.R3207"/>
        <s v="41.L2.6060.M6154"/>
        <s v="43.HC.ALSN5.DEN"/>
        <s v="47.L1.6060.AFP96604"/>
        <s v="47.L1.6060.AFP96607"/>
        <s v="47.L1.6060.AFP966602"/>
        <s v="47.L1.6060.AFP96666"/>
        <s v="47.L1.6060.AFPH966001"/>
        <s v="47.L1.6060.FPU966002"/>
        <s v="21.C100.DG.MPECO.00"/>
        <s v="21.C100.DG.UNIECO.00"/>
        <s v="18.C100.DG.UTILE.00."/>
        <s v="22.C100.DG.UNILUXPRO.00"/>
        <s v="18.C100.DG.BMFIX.00."/>
        <s v="22.C100.DG.UC-PRO.00"/>
        <s v="22.C100.DG.UCPRO.00"/>
        <s v="29.L1.3060.FUSC3643"/>
        <s v="29.L1.3060.FUSC3644"/>
        <s v="29.L1.3060.FUSC3641"/>
        <s v="29.L1.3060.FUSC3642"/>
        <s v="20.L1.6060.A91662"/>
        <s v="05.L1.3060.USG36000"/>
        <s v="29.L1.3060.FC39004"/>
        <s v="41.L1.6060.AM6154"/>
        <s v="20.L1.6060.A91661"/>
        <s v="05.L1.6060.USG66008"/>
        <s v="41.L1.6060.AU6154"/>
        <s v="41.L1.5050.91504"/>
        <s v="20.L1.6060.A26112"/>
        <s v="41.L1.5050.91507"/>
        <s v="29.L1.3060.FC39002"/>
        <s v="41.L1.5050.91505"/>
        <s v="38.L1.3060.UGC3600"/>
        <s v="41.L1.5050.91501"/>
        <s v="36.L2.3060.USC3603"/>
        <s v="05.L1.6060.USG66001"/>
        <s v="29.L1.3060.FUSM3646"/>
        <s v="29.L1.3060.FUSM3645"/>
        <s v="29.L1.3060.FC39005"/>
        <s v="29.L1.3060.FUSM3650"/>
        <s v="38.L1.5050.SVUSC513"/>
        <s v="38.L1.3060.UGC3602"/>
        <s v="29.L1.3060.FC39003"/>
        <s v="20.L1.8080.91861"/>
        <s v="41.L1.3060.UT361001T"/>
        <s v="46.L1.4080.USC4804"/>
        <s v="41.L1.3060.MT361001T"/>
        <s v="05.L1.6060.USG66006"/>
        <s v="41.L1.5050.91503"/>
        <s v="46.L1.4080.USC4808"/>
        <s v="41.L1.5050.91506"/>
        <s v="29.L1.3060.FUSM3648"/>
        <s v="29.L1.3060.FUSM3649"/>
        <s v="41.L1.6060.S6154"/>
        <s v="38.L1.5050.SVUSC506"/>
        <s v="46.L1.4080.USC4806"/>
        <s v="41.L1.3060.U3307"/>
        <s v="29.L1.3060.FC39006"/>
        <s v="05.L1.6060.USG66007"/>
        <s v="25.L1.3060.FP936604"/>
        <s v="41.L1.6060.AM6155"/>
        <s v="05.L1.6060.USG66005"/>
        <s v="41.L1.5050.UT552001"/>
        <s v="29.L1.3060.FUSM3647"/>
        <s v="38.L1.5050.SVUSC512"/>
        <s v="38.L1.5050.SVKAI504"/>
        <s v="20.L1.8080.91862"/>
        <s v="38.L1.5050.SVUSC514"/>
        <s v="25.L1.3060.FP936612"/>
        <s v="05.L1.6060.USG66003"/>
        <s v="41.L1.3060.M3301"/>
        <s v="10.L2.3060.4554"/>
        <s v="05.L1.6060.USG66004"/>
        <s v="29.L1.3060.FC39012"/>
        <s v="41.L1.6060.AU6153"/>
        <s v="47.L1.3060.FP936606"/>
        <s v="29.L1.3060.FC39007"/>
        <s v="38.L1.5050.SVUSC511"/>
        <s v="41.L1.6060.M6156"/>
        <s v="05.L1.8080.USG88008"/>
        <s v="29.L1.3060.FUSC3643V"/>
        <s v="46.L1.4080.USC4809"/>
        <s v="20.L1.6060.A66103"/>
        <s v="41.L1.3060.U3308"/>
        <s v="41.L1.3060.M3303"/>
        <s v="20.L1.6060.A36917"/>
        <s v="25.L1.4080.FP948603"/>
        <s v="38.L1.4080.UT481004T"/>
        <s v="25.L1.3060.FP936606"/>
        <s v="47.L1.3060.FP936612"/>
        <s v="41.L1.3060.U3301"/>
        <s v="41.L1.3060.U3305"/>
        <s v="41.L1.3060.M3306"/>
        <s v="41.L1.6060.AU6151"/>
        <s v="25.L1.6060.FPU966003"/>
        <s v="29.L1.3060.FUSC3644V"/>
        <s v="25.L1.3060.FP936602"/>
        <s v="38.L1.5050.SVKAI505"/>
        <s v="29.L1.3060.FC39010"/>
        <s v="20.L1.6060.A66105"/>
        <s v="29.L1.3060.FC39011"/>
        <s v="47.L1.6060.FPU966003"/>
        <s v="41.L1.3060.M3305"/>
        <s v="05.L1.3060.KAG36900"/>
        <s v="47.L1.3060.FP936604"/>
        <s v="25.L1.3060.FP936605"/>
        <s v="20.L1.6060.A26905"/>
        <s v="47.L1.8080.FPU8003"/>
        <s v="47.L1.3060.FP936601"/>
        <s v="36.L2.3060.USC3602"/>
        <s v="38.L1.3060.KAI3607"/>
        <s v="36.L2.3060.USC3601"/>
        <s v="41.L1.6060.AM6153"/>
        <s v="41.L1.5050.91508"/>
        <s v="25.L1.6060.FP966602"/>
        <s v="20.L1.6060.A66101"/>
        <s v="41.L1.3060.U3306"/>
        <s v="03.L1.3060.68414"/>
        <s v="39.L1.4080.USG48009"/>
        <s v="41.L1.5050.91502"/>
        <s v="29.L1.3060.FUSM3652"/>
        <s v="29.L1.3060.FUSC3641V"/>
        <s v="38.L1.3060.KAI3608"/>
        <s v="29.L1.3060.FUSC3642V"/>
        <s v="41.L1.3060.S3103"/>
        <s v="05.L1.6060.USG66002"/>
        <s v="20.L1.6060.A66104"/>
        <s v="41.L1.6060.U6156"/>
        <s v="41.L1.6060.AM6151"/>
        <s v="20.L1.6060.A36005"/>
        <s v="36.L2.3060.USC3604"/>
        <s v="20.L1.6060.A26172"/>
        <s v="41.L1.5050.MS552001"/>
        <s v="41.L1.6060.MS663002"/>
        <s v="20.L1.8080.89804"/>
        <s v="25.L1.3060.FP936609"/>
        <s v="36.L1.6060.IP6004"/>
        <s v="36.L1.6060.IP6006"/>
        <s v="20.L1.6060.A66102"/>
        <s v="41.L1.3060.M3307"/>
        <s v="41.L1.3060.S3101"/>
        <s v="20.L1.6060.A16901"/>
        <s v="36.L1.6060.IP6001"/>
        <s v="20.L1.6060.A89605"/>
        <s v="20.L1.6060.A36916"/>
        <s v="05.L1.3060.KAG36901"/>
        <s v="41.L1.3060.U3303"/>
        <s v="38.L1.5050.SVKAI502"/>
        <s v="20.L1.8080.89801"/>
        <s v="41.L1.4060.MT462002"/>
        <s v="41.L1.4080.M4101"/>
        <s v="20.L1.6060.A89604"/>
        <s v="05.L1.8080.USG88001"/>
        <s v="36.L3.3060.USC3603"/>
        <s v="41.L1.3060.M3308"/>
        <s v="41.L1.6060.MS663004"/>
        <s v="41.L1.3060.M3108"/>
        <s v="25.L1.3060.FP936608"/>
        <s v="36.L1.6060.IP6007"/>
        <s v="20.L1.8080.18910"/>
        <s v="36.L1.6060.IP6005"/>
        <s v="10.L2.3060.4547"/>
        <s v="47.L1.3060.FP936610"/>
        <s v="41.L1.3060.MS361001T"/>
        <s v="41.L1.6060.M6157"/>
        <s v="36.L1.6060.IP6002"/>
        <s v="41.L1.3060.U3106"/>
        <s v="41.L1.4080.U4101"/>
        <s v="38.L1.4080.UT481001T"/>
        <s v="10.L2.3060.4566"/>
        <s v="20.L1.8080.89802"/>
        <s v="25.L1.6060.FPU966005"/>
        <s v="20.L1.6060.A89601"/>
        <s v="20.L1.6060.A16004"/>
        <s v="47.L1.3060.FP936607"/>
        <s v="25.L1.4080.FP948604"/>
        <s v="29.L1.3060.FC39013"/>
        <s v="29.L1.3060.FUSC3636"/>
        <s v="20.L1.6060.A16405"/>
        <s v="05.L1.3060.KAG36904"/>
        <s v="41.L1.6060.S6155"/>
        <s v="29.L1.3060.FUSM3651"/>
        <s v="29.L1.3060.FC39004D"/>
        <s v="38.L1.5050.SVICC503"/>
        <s v="41.L1.6060.U6158"/>
        <s v="20.L1.6060.A66106"/>
        <s v="41.L1.3060.U3105"/>
        <s v="29.L1.3060.FC39008"/>
        <s v="20.L1.8080.68104"/>
        <s v="20.L1.8080.18915"/>
        <s v="41.L1.4080.U4103"/>
        <s v="20.L1.6060.A89603"/>
        <s v="29.L1.3060.FUSC3635"/>
        <s v="25.L1.4080.FP948602"/>
        <s v="20.L1.8080.18911"/>
        <s v="36.L3.3060.USC3604"/>
        <s v="20.L1.6060.A16001"/>
        <s v="05.L1.3060.KAG36906"/>
        <s v="25.L1.3060.FP936613"/>
        <s v="20.L1.8080.89805"/>
        <s v="47.L1.3060.FP936605"/>
        <s v="20.L1.8080.18912"/>
        <s v="29.L1.3060.FC39009"/>
        <s v="20.L1.6060.A36919"/>
        <s v="38.L1.5050.SVUSC510"/>
        <s v="29.L1.6060.FP96601"/>
        <s v="20.L1.6060.A16902"/>
        <s v="41.L1.6060.MS663001"/>
        <s v="29.L1.3060.FC39002D"/>
        <s v="10.L1.5050.5322"/>
        <s v="41.L1.6060.AS6152"/>
        <s v="41.L1.3060.M3107"/>
        <s v="20.L1.5050.35201"/>
        <s v="20.L1.6060.A16003"/>
        <s v="41.L1.6060.S6104"/>
        <s v="39.L1.4080.USG48003"/>
        <s v="41.L1.4080.S4101"/>
        <s v="47.L1.3060.FP936608"/>
        <s v="25.L1.3060.FP936607"/>
        <s v="20.L1.6060.A16903"/>
        <s v="25.L1.8080.FPU188003"/>
        <s v="41.L1.6060.AU6155"/>
        <s v="36.L3.3060.USC3602"/>
        <s v="36.L3.3060.USC3601"/>
        <s v="25.L1.4080.FP948601"/>
        <s v="20.L1.8080.89806"/>
        <s v="20.L1.6060.A89602"/>
        <s v="20.L1.6060.A89607"/>
        <s v="20.L1.6060.A26901"/>
        <s v="25.L1.6060.FP966605"/>
        <s v="39.L1.4080.USG48006"/>
        <s v="20.L1.8080.68105"/>
        <s v="41.L2.3060.D3114"/>
        <s v="20.L1.6060.A26903"/>
        <s v="29.L1.6060.FP966602"/>
        <s v="20.L1.8080.68103"/>
        <s v="05.L1.8080.USG88005"/>
        <s v="47.L1.3060.FP936613"/>
        <s v="05.L1.8080.USG88004"/>
        <s v="05.L1.8080.USG88006"/>
        <s v="41.L1.6060.U6157"/>
        <s v="41.L1.4060.MT462004"/>
        <s v="25.L1.6060.FP96601"/>
        <s v="20.L1.8080.68102"/>
        <s v="20.L1.6060.A89606"/>
        <s v="05.L1.8080.USG88007"/>
        <s v="25.L1.3060.FP936601"/>
        <s v="29.L1.8080.FPU188003"/>
        <s v="29.L1.6060.FPU966002"/>
        <s v="47.L1.4080.FP948604"/>
        <s v="20.L1.8080.38915"/>
        <s v="20.L1.8080.89807"/>
        <s v="20.L1.6060.A36004"/>
        <s v="47.L1.6060.FPU966009"/>
        <s v="20.L1.5050.35106"/>
        <s v="20.L1.8080.89803"/>
        <s v="47.L1.4080.FP948601"/>
        <s v="20.L1.6060.A89651"/>
        <s v="38.L1.3060.UGC3602AV"/>
        <s v="05.L1.3060.KAG36902"/>
        <s v="25.L1.3060.FP936610"/>
        <s v="20.L1.8080.68101"/>
        <s v="46.L1.4080.USC4806V"/>
        <s v="20.L1.6060.A89658"/>
        <s v="41.L1.4060.MT462003"/>
        <s v="29.L1.3060.FUSC3644D"/>
        <s v="39.L1.4080.USG48011"/>
        <s v="29.L1.6060.FP96608"/>
        <s v="20.L1.8080.68106"/>
        <s v="29.L1.3060.FUSC3643D"/>
        <s v="29.L1.6060.FPH966001"/>
        <s v="36.L1.6060.IP6003"/>
        <s v="20.L1.6060.A36003"/>
        <s v="20.L1.6060.A36902"/>
        <s v="41.L1.6060.MS663003"/>
        <s v="29.L1.3060.FUSM3645D"/>
        <s v="47.L1.4080.FP948602"/>
        <s v="20.L1.8080.89851"/>
        <s v="46.L1.4080.USC4804V"/>
        <s v="47.L1.6060.FPU6666"/>
        <s v="29.L1.3060.FUSC3641D"/>
        <s v="41.L1.4080.S4104"/>
        <s v="41.L1.4080.S4106"/>
        <s v="20.L1.6060.A16114"/>
        <s v="20.L1.6060.A16906"/>
        <s v="25.L1.8080.FP18601"/>
        <s v="47.L1.3060.FP936611"/>
        <s v="25.L1.6060.FPU966002"/>
        <s v="20.L1.6060.A89656"/>
        <s v="47.L1.8080.FPU8017"/>
        <s v="41.L1.3060.MT361003V"/>
        <s v="41.L1.6060.AS6154"/>
        <s v="29.L1.3060.FC39006D"/>
        <s v="05.L1.8080.USG88002"/>
        <s v="46.L1.4080.USC4808V"/>
        <s v="47.L1.6060.FP96600"/>
        <s v="25.L1.6060.FP96666"/>
        <s v="41.L1.4060.MT462001"/>
        <s v="05.L1.6060.IP6003"/>
        <s v="36.L2.3060.USC3625"/>
        <s v="25.L1.6060.FPH966001"/>
        <s v="41.L1.6060.AU6152"/>
        <s v="20.L1.8080.89856"/>
        <s v="41.L1.5050.UT552003"/>
        <s v="25.L1.6060.FPU966001"/>
        <s v="41.L1.3060.UT361003V"/>
        <s v="25.L1.6060.FP96608"/>
        <s v="25.L1.3060.FP936604D"/>
        <s v="18.C200.DG.BMSET.00."/>
        <s v="20.L1.6060.A36903"/>
        <s v="29.L1.8080.FP18604"/>
        <s v="41.L1.3060.M3105"/>
        <s v="05.L1.3060.KAG36905"/>
        <s v="05.L1.8080.USG88003"/>
        <s v="25.L1.6060.FP96604"/>
        <s v="47.L1.4080.FP948603"/>
        <s v="20.L1.8080.89854"/>
        <s v="41.L1.5050.S5151"/>
        <s v="39.L1.4080.USG48005"/>
        <s v="41.L1.3060.M3106"/>
        <s v="20.L1.8080.38919"/>
        <s v="20.L1.6060.A36006"/>
        <s v="05.L1.3060.USG36000BV"/>
        <s v="41.L1.4080.U4104"/>
        <s v="41.L1.3060.M3304"/>
        <s v="41.L1.4060.MS462001"/>
        <s v="20.L1.6060.A26107"/>
        <s v="41.L1.4060.MS462002"/>
        <s v="05.L1.3060.KAG36903"/>
        <s v="36.L1.8080.IP8004"/>
        <s v="41.L1.6060.AU6158"/>
        <s v="41.L1.3060.U3407"/>
        <s v="20.L1.8080.89853"/>
        <s v="20.L1.8080.38916"/>
        <s v="20.L1.6060.A89653"/>
        <s v="27.L1.6060.DIC6617"/>
        <s v="25.L1.8080.FP18604"/>
        <s v="25.L1.6060.FPU966013"/>
        <s v="39.L1.4080.USG48008"/>
        <s v="05.L1.3060.USG36009"/>
        <s v="47.L1.8080.FP18600"/>
        <s v="05.L1.8080.IP8008"/>
        <s v="05.L1.3060.KAG36907"/>
        <s v="47.L1.3060.FP936606D"/>
        <s v="25.L1.3060.FP936611"/>
        <s v="41.L1.3060.S3102"/>
        <s v="41.L1.3060.M3302"/>
        <s v="20.L1.6060.A89654"/>
        <s v="20.L1.6060.A16905"/>
        <s v="20.L1.8080.89855"/>
        <s v="41.L1.3060.M3405"/>
        <s v="20.L1.100100.91113"/>
        <s v="25.L1.6060.FP96606"/>
        <s v="29.L1.8080.FPU188035"/>
        <s v="36.L1.8080.IP8001"/>
        <s v="39.L1.4080.USG48015"/>
        <s v="05.L1.3060.USG36008"/>
        <s v="38.L1.3060.UGC3600BV"/>
        <s v="41.L1.6060.S6156"/>
        <s v="38.L1.3060.ICC3601D"/>
        <s v="41.L1.3060.U3405"/>
        <s v="41.L1.6060.S6157"/>
        <s v="05.L1.3060.USG36000AV"/>
        <s v="39.L2.6060.UGG6003"/>
        <s v="20.L1.6060.A89657"/>
        <s v="47.L1.8080.FP18666"/>
        <s v="41.L1.3060.S3104"/>
        <s v="25.L1.6060.FPU966009"/>
        <s v="20.L1.8080.89857"/>
        <s v="25.L1.8080.FP18600"/>
        <s v="05.L1.8080.IP8007"/>
        <s v="25.L1.8080.FPU188035"/>
        <s v="20.L1.100100.91112"/>
        <s v="29.L1.3060.FP936601D"/>
        <s v="36.L1.8080.IP8006"/>
        <s v="41.L1.5050.S5152"/>
        <s v="20.L1.6060.A26006"/>
        <s v="29.L1.3060.FUSC3642D"/>
        <s v="20.L1.8080.89858"/>
        <s v="29.L1.3060.FC39012D"/>
        <s v="36.L1.8080.IP8007"/>
        <s v="41.L1.6060.AM6156"/>
        <s v="41.L1.3060.U3302"/>
        <s v="29.L1.3060.FUSC3639D"/>
        <s v="29.L1.8080.FPU188011"/>
        <s v="05.L1.3060.USG36007"/>
        <s v="29.L1.3060.FUSM3649D"/>
        <s v="25.L1.8080.FPU188005"/>
        <s v="29.L1.8080.FP18608"/>
        <s v="47.L1.3060.FP936612D"/>
        <s v="25.L1.3060.FP936612D"/>
        <s v="41.L1.4060.MS462003"/>
        <s v="41.L1.3060.MS361003V"/>
        <s v="25.L1.8080.FP18606"/>
        <s v="20.L1.6060.A36904"/>
        <s v="38.L1.3060.UGC3600AV"/>
        <s v="41.L1.5050.MS552002"/>
        <s v="47.L1.3060.FP936601V"/>
        <s v="46.L1.4080.USC4809V"/>
        <s v="38.L1.3060.KAI3600D"/>
        <s v="05.L1.3060.USG36010"/>
        <s v="29.L1.3060.FUSM3647D"/>
        <s v="47.L1.6060.FP966605"/>
        <s v="29.L1.3060.FC39010D"/>
        <s v="36.L1.8080.IP8005"/>
        <s v="20.L1.8080.89852"/>
        <s v="41.L1.4080.S4107"/>
        <s v="00.L1.8080.P87625N"/>
        <s v="41.L1.6060.MS663005"/>
        <s v="29.L1.4080.FP948604V"/>
        <s v="21.PG.MAPELATEXVN.25"/>
        <s v="05.L1.3060.KAG36900V"/>
        <s v="41.L1.4060.MS462004"/>
        <s v="29.L1.3060.FC39008D"/>
        <s v="41.L1.4080.S4103"/>
        <s v="41.L1.4080.S4108"/>
        <s v="38.L1.3060.KAI3601AD"/>
        <s v="29.L1.8080.FP18606"/>
        <s v="25.L1.6060.FPU6016"/>
        <s v="20.L1.6060.A89655"/>
        <s v="41.L1.3060.U3304"/>
        <s v="12.L1.2550.A2535"/>
        <s v="41.L1.6060.AU6156"/>
        <s v="41.L1.3060.M3407"/>
        <s v="10.L2.3060.4556"/>
        <s v="29.L1.6060.FP966605"/>
        <s v="41.L1.5050.S5155"/>
        <s v="20.L1.100100.91121"/>
        <s v="41.L1.5050.UT552004"/>
        <s v="41.L1.4080.M4203"/>
        <s v="12.L1.2550.A2538"/>
        <s v="20.L1.100100.91110"/>
        <s v="05.L1.8080.688002"/>
        <s v="38.L1.3060.KAI3607D"/>
        <s v="21.C2TE.DG.ADESP9.00"/>
        <s v="41.L1.3060.S3107"/>
        <s v="47.L1.8080.FPU188005"/>
        <s v="47.L1.3060.FP936604D"/>
        <s v="25.L1.3060.FP936606D"/>
        <s v="38.L1.3060.UGC3600BD"/>
        <s v="47.L1.8080.FPU188013"/>
        <s v="25.L1.3060.FP936602V"/>
        <s v="41.L1.4080.S4109"/>
        <s v="46.L1.4080.USC4806D"/>
        <s v="41.L1.3060.S3108"/>
        <s v="20.L1.6060.26500"/>
        <s v="14.L1.3060.36800"/>
        <s v="41.L1.4080.S4105"/>
        <s v="25.L1.8080.FP18608"/>
        <s v="20.L1.6060.26400"/>
        <s v="41.L1.4080.M4201"/>
        <s v="05.L1.8080.IP8003"/>
        <s v="20.L1.8080.38906"/>
        <s v="36.L2.8080.N8002"/>
        <s v="05.L1.3060.KAG36901V"/>
        <s v="47.L1.4080.FP948602V"/>
        <s v="25.L1.6060.FPU6007"/>
        <s v="05.L1.3060.USG36000BD"/>
        <s v="47.L1.8080.FPU188033"/>
        <s v="20.L1.100100.91120"/>
        <s v="29.L1.6060.FPU966001"/>
        <s v="25.L1.8080.FPU188033"/>
        <s v="47.L1.4080.FP948601V"/>
        <s v="41.L1.3060.M3403"/>
        <s v="39.L1.4080.USG48010"/>
        <s v="38.L1.4080.UT481001V"/>
        <s v="25.L1.3060.FP936609V"/>
        <s v="20.L1.100100.91111"/>
        <s v="47.L1.3060.FP936608V"/>
        <s v="29.L1.3060.FUSC3635D"/>
        <s v="41.L1.5050.S5154"/>
        <s v="20.L1.6060.A86301"/>
        <s v="39.L1.4080.USG48004"/>
        <s v="46.L1.4080.USC4804D"/>
        <s v="38.L1.4080.UT481006V"/>
        <s v="27.L1.6060.SV6004"/>
        <s v="38.L1.4080.UT481005V"/>
        <s v="25.L1.8080.FPU188013"/>
        <s v="29.L1.8080.FP18600"/>
        <s v="41.L2.3060.D3116"/>
        <s v="29.L1.4080.FP948603D"/>
        <s v="41.L1.3060.M3207"/>
        <s v="10.L2.3060.4606"/>
        <s v="36.L1.8080.IP8003"/>
        <s v="25.L1.6060.FP96600"/>
        <s v="42.HC.A300FUS.TRONG"/>
        <s v="25.L1.8080.FPU188017"/>
        <s v="39.L1.4080.USG48007"/>
        <s v="47.L1.6060.AFPU966009"/>
        <s v="47.L1.3060.FP936610D"/>
        <s v="29.L1.6060.FPU966013"/>
        <s v="14.L1.3060.A36AG403"/>
        <s v="05.L1.3060.USG36000AD"/>
        <s v="25.L1.3060.FP936608V"/>
        <s v="38.L1.4080.UT481004V"/>
        <s v="05.L1.3060.KAG36906D"/>
        <s v="05.L1.3060.KAG36904D"/>
        <s v="41.L1.4080.U4201"/>
        <s v="25.L1.4080.FP948604V"/>
        <s v="25.L1.6060.FPU6017"/>
        <s v="44.HC.A500UC.TRONG"/>
        <s v="20.L1.6060.A89652"/>
        <s v="41.L1.3060.S3201"/>
        <s v="47.L1.3060.FP936601D"/>
        <s v="41.L1.5050.MS552003"/>
        <s v="47.L1.6060.AFP96600"/>
        <s v="25.L1.4080.FP948603V"/>
        <s v="25.L1.4080.FP948602V"/>
        <s v="38.L1.4080.UT481002V"/>
        <s v="38.L1.3060.UGC3602AD"/>
        <s v="20.L1.100100.91122"/>
        <s v="47.L1.4080.FP948603V"/>
        <s v="25.L1.6060.FP96607"/>
        <s v="41.L1.3060.M3401"/>
        <s v="39.L1.4080.USG48016"/>
        <s v="41.L1.3060.S3105"/>
        <s v="47.L1.8080.FPU188035"/>
        <s v="22.CG2WA.CR.TILEJOINT.00"/>
        <s v="41.L1.3060.U3205"/>
        <s v="46.L1.4080.USC4808D"/>
        <s v="05.L1.3060.KAG36901D"/>
        <s v="41.L1.4080.S4206"/>
        <s v="41.L1.3060.U3401"/>
        <s v="41.L1.3060.S3203"/>
        <s v="40.L1.3060.USC3604D"/>
        <s v="47.L1.4080.FP948601D"/>
        <s v="25.L1.4080.FP948601V"/>
        <s v="47.L1.4080.FP948604V"/>
        <s v="29.L1.3060.FUSM3651D"/>
        <s v="41.L1.3060.M3205"/>
        <s v="41.L1.3060.S3106"/>
        <s v="41.L1.3060.UT361002D"/>
        <s v="47.L1.4080.FP948602D"/>
        <s v="36.L3.3060.USC3637D"/>
        <s v="05.L1.3060.KAG36900D"/>
        <s v="41.L1.4080.S4201"/>
        <s v="47.L1.8080.FPU188011"/>
        <s v="38.L1.4080.UT481003V"/>
        <s v="41.L1.5050.S5153"/>
        <s v="47.L1.6060.MECO633"/>
        <s v="05.L1.3060.KAG36902D"/>
        <s v="41.L1.3060.S3207"/>
        <s v="05.L1.3060.USG36007D"/>
        <s v="41.L1.3060.MT361002D"/>
        <s v="41.L1.4080.U4203"/>
        <s v="46.L1.4080.USC4809D"/>
        <s v="21.CG2WA.CR.SF.00"/>
        <s v="29.L1.6060.FPU966005"/>
        <s v="10.L1.3060.68002"/>
        <s v="38.L1.4080.UT481004D"/>
        <s v="29.L1.3060.FPH3626V"/>
        <s v="41.L2.3060.D3214"/>
        <s v="25.L1.3060.FP936610D"/>
        <s v="41.L1.4080.S4208"/>
        <s v="38.L1.4080.UT481001D"/>
        <s v="38.L1.3060.UGC3602BD"/>
        <s v="47.L1.4080.FP948603D"/>
        <s v="47.L1.3060.FP936608D"/>
        <s v="41.L1.3060.U3403"/>
        <s v="38.L1.4080.UT481002D"/>
        <s v="47.L1.4080.FP948604D"/>
        <s v="38.L1.4080.UT481005D"/>
        <s v="21.CT.AQUAFLEXR77.GREY4"/>
        <s v="47.L2.8080.CTN8002DB"/>
        <s v="14.L1.3060.36822"/>
        <s v="25.L1.4080.FP948604D"/>
        <s v="38.L1.4080.UT481006D"/>
        <s v="25.L1.4080.FP948603D"/>
        <s v="47.L1.6060.AFP966605"/>
        <s v="25.L1.4080.FP948601D"/>
        <s v="14.L1.3060.A36SG405D"/>
        <s v="43.HC.ALSN5.XAM"/>
        <s v="12.L1.2550.A2534"/>
        <s v="41.L1.3060.U3207"/>
        <s v="20.L1.100100.91123"/>
        <s v="41.L1.3060.S3205"/>
        <s v="42.HC.A300FUS.TRANG"/>
        <s v="42.HC.A500FUS.TRANG"/>
        <s v="41.L1.3060.MS361002D"/>
        <s v="42.HC.A500FUS.TRONG"/>
        <s v="45.PK.LUX.MA.07"/>
        <s v="25.L1.4080.FP948602D"/>
        <s v="25.L1.3060.FP936608D"/>
        <s v="45.PK.LUX.MA.304.05"/>
        <s v="29.L1.3060.FPH3626D"/>
        <s v="45.PK.LUX.TS.120.120.54"/>
        <s v="45.PK.LUX.TS.120.120.62"/>
        <s v="45.PK.LUX.VK.505"/>
        <s v="38.L1.4080.UT481003D"/>
        <s v="45.PK.LUX.HG.606"/>
        <s v="21.CT.AQUAFLEXR77.W4"/>
        <s v="45.PK.LUX.XP.304"/>
        <s v="20.L1.100100.51107"/>
        <s v="45.TB.LUX.CRC.82.45.2.K"/>
      </sharedItems>
    </cacheField>
    <cacheField name="Tổng Sản Lượng" numFmtId="0">
      <sharedItems containsSemiMixedTypes="0" containsString="0" containsNumber="1">
        <n v="240.0"/>
        <n v="424.0"/>
        <n v="3520.0"/>
        <n v="160.0"/>
        <n v="1143.0"/>
        <n v="36.0"/>
        <n v="114.0"/>
        <n v="684.0"/>
        <n v="83.0"/>
        <n v="995.0"/>
        <n v="79.0"/>
        <n v="1714.0"/>
        <n v="3322.0"/>
        <n v="35.0"/>
        <n v="1039.0"/>
        <n v="354.0"/>
        <n v="1600.0"/>
        <n v="640.0"/>
        <n v="2080.0"/>
        <n v="320.0"/>
        <n v="420.0"/>
        <n v="537.0"/>
        <n v="960.0"/>
        <n v="21600.0"/>
        <n v="1440.0"/>
        <n v="2400.0"/>
        <n v="4264.0"/>
        <n v="720.0"/>
        <n v="1408.0"/>
        <n v="6072.0"/>
        <n v="1472.0"/>
        <n v="2744.0"/>
        <n v="1272.0"/>
        <n v="1836.0"/>
        <n v="3492.0"/>
        <n v="2368.0"/>
        <n v="2880.0"/>
        <n v="880.0"/>
        <n v="3776.0"/>
        <n v="288.0"/>
        <n v="3040.0"/>
        <n v="504.0"/>
        <n v="1608.0"/>
        <n v="512.0"/>
        <n v="2064.0"/>
        <n v="80.0"/>
        <n v="16.0"/>
        <n v="345.0"/>
        <n v="306.0"/>
        <n v="129.0"/>
        <n v="96.0"/>
        <n v="1182.0"/>
        <n v="126.0"/>
        <n v="9.0"/>
        <n v="92.0"/>
        <n v="10.0"/>
        <n v="34.0"/>
        <n v="600.0"/>
        <n v="56.0"/>
        <n v="360.0"/>
        <n v="4640.0"/>
        <n v="1948.0"/>
        <n v="5328.0"/>
        <n v="4800.0"/>
        <n v="1004.0"/>
        <n v="5376.0"/>
        <n v="2304.0"/>
        <n v="3456.0"/>
        <n v="768.0"/>
        <n v="216.0"/>
        <n v="3.0"/>
        <n v="1500.0"/>
        <n v="125.0"/>
        <n v="60.0"/>
        <n v="140.0"/>
        <n v="18.0"/>
        <n v="1000.0"/>
        <n v="121.0"/>
        <n v="19.0"/>
        <n v="101.0"/>
        <n v="848.0"/>
        <n v="8.0"/>
        <n v="308.0"/>
        <n v="291.0"/>
        <n v="153.0"/>
        <n v="352.0"/>
        <n v="1536.0"/>
        <n v="496.0"/>
        <n v="107.0"/>
        <n v="4224.0"/>
        <n v="6144.0"/>
        <n v="471.0"/>
        <n v="984.0"/>
        <n v="786.0"/>
        <n v="1115.0"/>
        <n v="1744.0"/>
        <n v="4760.0"/>
        <n v="3992.0"/>
        <n v="976.0"/>
        <n v="1752.0"/>
        <n v="11928.0"/>
        <n v="8152.0"/>
        <n v="4744.0"/>
        <n v="2720.0"/>
        <n v="944.0"/>
        <n v="4816.0"/>
        <n v="1152.0"/>
        <n v="584.0"/>
        <n v="624.0"/>
        <n v="4004.0"/>
        <n v="2212.0"/>
        <n v="272.0"/>
        <n v="428.0"/>
        <n v="1280.0"/>
        <n v="248.0"/>
        <n v="852.0"/>
        <n v="2574.0"/>
        <n v="1233.0"/>
        <n v="339.0"/>
        <n v="267.0"/>
        <n v="162.0"/>
        <n v="753.0"/>
        <n v="344.0"/>
        <n v="336.0"/>
        <n v="480.0"/>
        <n v="200.0"/>
        <n v="4240.0"/>
        <n v="232.0"/>
        <n v="1560.0"/>
        <n v="688.0"/>
        <n v="3080.0"/>
        <n v="2160.0"/>
        <n v="2600.0"/>
        <n v="776.0"/>
        <n v="3888.0"/>
        <n v="968.0"/>
        <n v="2664.0"/>
        <n v="32.0"/>
        <n v="2432.0"/>
        <n v="488.0"/>
        <n v="3552.0"/>
        <n v="23.0"/>
        <n v="2856.0"/>
        <n v="1952.0"/>
        <n v="1464.0"/>
        <n v="576.0"/>
        <n v="1176.0"/>
        <n v="680.0"/>
        <n v="220.0"/>
        <n v="456.0"/>
        <n v="312.0"/>
        <n v="276.0"/>
        <n v="392.0"/>
        <n v="213.0"/>
        <n v="1950.0"/>
        <n v="372.0"/>
        <n v="192.0"/>
        <n v="102.0"/>
        <n v="159.0"/>
        <n v="2320.0"/>
        <n v="40.0"/>
        <n v="3440.0"/>
        <n v="48.0"/>
        <n v="1016.0"/>
        <n v="3464.0"/>
        <n v="1072.0"/>
        <n v="2480.0"/>
        <n v="1256.0"/>
        <n v="952.0"/>
        <n v="1040.0"/>
        <n v="152.0"/>
        <n v="2888.0"/>
        <n v="528.0"/>
        <n v="144.0"/>
        <n v="744.0"/>
        <n v="954.0"/>
        <n v="2192.0"/>
        <n v="2688.0"/>
        <n v="4372.0"/>
        <n v="6260.0"/>
        <n v="2448.0"/>
        <n v="1116.0"/>
        <n v="552.0"/>
        <n v="448.0"/>
        <n v="2104.0"/>
        <n v="2864.0"/>
        <n v="1292.0"/>
        <n v="53.0"/>
        <n v="709.0"/>
        <n v="361.0"/>
        <n v="487.0"/>
        <n v="132.0"/>
        <n v="908.0"/>
        <n v="12.0"/>
        <n v="123.0"/>
        <n v="226.0"/>
        <n v="2124.0"/>
        <n v="1732.0"/>
        <n v="21996.0"/>
        <n v="2392.0"/>
        <n v="13720.0"/>
        <n v="1544.0"/>
        <n v="6641.0"/>
        <n v="13533.0"/>
        <n v="6614.0"/>
        <n v="8731.0"/>
        <n v="3382.0"/>
        <n v="6.0"/>
        <n v="24.0"/>
        <n v="155.0"/>
        <n v="141.0"/>
        <n v="546.0"/>
        <n v="1177.0"/>
        <n v="635.0"/>
        <n v="587.0"/>
        <n v="1252.0"/>
        <n v="1080.0"/>
        <n v="687.0"/>
        <n v="1294.0"/>
        <n v="911.0"/>
        <n v="7416.0"/>
        <n v="400.0"/>
        <n v="1920.0"/>
        <n v="7680.0"/>
        <n v="3200.0"/>
        <n v="14856.0"/>
        <n v="2312.0"/>
        <n v="25.0"/>
        <n v="1385.0"/>
        <n v="450.0"/>
        <n v="800.0"/>
        <n v="653.0"/>
        <n v="274.0"/>
        <n v="951.0"/>
        <n v="1293800.0"/>
        <n v="1258225.05"/>
        <n v="483800.0"/>
        <n v="322325.0"/>
        <n v="280875.0"/>
        <n v="267525.0"/>
        <n v="218475.0"/>
        <n v="168784.0"/>
        <n v="151078.0"/>
        <n v="131359.0"/>
        <n v="117405.0"/>
        <n v="109380.0"/>
        <n v="86483.0"/>
        <n v="86281.0"/>
        <n v="82298.0"/>
        <n v="68476.0"/>
        <n v="64706.0"/>
        <n v="63815.0"/>
        <n v="62200.0"/>
        <n v="61496.0"/>
        <n v="60819.0"/>
        <n v="58221.0"/>
        <n v="57570.0"/>
        <n v="56318.0"/>
        <n v="54995.0"/>
        <n v="53944.0"/>
        <n v="53015.0"/>
        <n v="52880.0"/>
        <n v="49776.0"/>
        <n v="48486.0"/>
        <n v="48472.0"/>
        <n v="47374.0"/>
        <n v="45376.0"/>
        <n v="43692.0"/>
        <n v="43303.0"/>
        <n v="42790.0"/>
        <n v="42158.0"/>
        <n v="41447.0"/>
        <n v="41325.0"/>
        <n v="40727.0"/>
        <n v="40444.0"/>
        <n v="39353.0"/>
        <n v="39209.0"/>
        <n v="38800.0"/>
        <n v="38569.0"/>
        <n v="38248.0"/>
        <n v="38214.0"/>
        <n v="38074.0"/>
        <n v="37506.0"/>
        <n v="37372.0"/>
        <n v="36950.0"/>
        <n v="36325.0"/>
        <n v="35674.0"/>
        <n v="35157.0"/>
        <n v="33802.0"/>
        <n v="33406.0"/>
        <n v="32611.0"/>
        <n v="32040.0"/>
        <n v="31094.0"/>
        <n v="30517.0"/>
        <n v="30105.0"/>
        <n v="29439.0"/>
        <n v="28312.0"/>
        <n v="27896.0"/>
        <n v="27771.0"/>
        <n v="27556.0"/>
        <n v="27549.0"/>
        <n v="27142.0"/>
        <n v="27091.0"/>
        <n v="26869.0"/>
        <n v="26672.0"/>
        <n v="25780.0"/>
        <n v="25518.0"/>
        <n v="25488.0"/>
        <n v="25442.0"/>
        <n v="25158.0"/>
        <n v="25067.0"/>
        <n v="24801.0"/>
        <n v="24772.0"/>
        <n v="24673.0"/>
        <n v="24442.0"/>
        <n v="24392.0"/>
        <n v="24336.0"/>
        <n v="24310.0"/>
        <n v="23503.0"/>
        <n v="23232.0"/>
        <n v="23148.0"/>
        <n v="23139.0"/>
        <n v="22979.0"/>
        <n v="22948.0"/>
        <n v="22880.0"/>
        <n v="22797.0"/>
        <n v="22321.0"/>
        <n v="21901.0"/>
        <n v="21504.0"/>
        <n v="21126.0"/>
        <n v="20839.0"/>
        <n v="20533.0"/>
        <n v="20352.0"/>
        <n v="20292.0"/>
        <n v="19960.0"/>
        <n v="19698.0"/>
        <n v="19344.0"/>
        <n v="19251.0"/>
        <n v="19078.0"/>
        <n v="18750.0"/>
        <n v="18731.0"/>
        <n v="18651.0"/>
        <n v="18112.0"/>
        <n v="17900.0"/>
        <n v="17883.0"/>
        <n v="17814.0"/>
        <n v="17647.0"/>
        <n v="17514.0"/>
        <n v="17469.0"/>
        <n v="17429.0"/>
        <n v="17394.0"/>
        <n v="17366.0"/>
        <n v="17345.0"/>
        <n v="17113.0"/>
        <n v="17038.0"/>
        <n v="16984.0"/>
        <n v="16712.0"/>
        <n v="16658.0"/>
        <n v="16587.0"/>
        <n v="16547.0"/>
        <n v="16298.0"/>
        <n v="16269.0"/>
        <n v="16261.0"/>
        <n v="16197.0"/>
        <n v="16178.0"/>
        <n v="16132.0"/>
        <n v="16011.0"/>
        <n v="15866.0"/>
        <n v="15780.0"/>
        <n v="15724.0"/>
        <n v="15552.0"/>
        <n v="15465.0"/>
        <n v="15432.0"/>
        <n v="15323.0"/>
        <n v="15192.0"/>
        <n v="15139.0"/>
        <n v="15065.0"/>
        <n v="14922.0"/>
        <n v="14920.0"/>
        <n v="14902.0"/>
        <n v="14789.0"/>
        <n v="14587.0"/>
        <n v="14548.0"/>
        <n v="13959.0"/>
        <n v="13918.0"/>
        <n v="13815.0"/>
        <n v="13640.0"/>
        <n v="13546.0"/>
        <n v="13332.0"/>
        <n v="13221.0"/>
        <n v="13168.0"/>
        <n v="13143.0"/>
        <n v="12874.0"/>
        <n v="12867.0"/>
        <n v="12856.0"/>
        <n v="12825.0"/>
        <n v="12749.0"/>
        <n v="12605.0"/>
        <n v="12526.0"/>
        <n v="12357.0"/>
        <n v="12260.0"/>
        <n v="12255.0"/>
        <n v="12230.0"/>
        <n v="12219.0"/>
        <n v="12139.0"/>
        <n v="12058.0"/>
        <n v="11993.0"/>
        <n v="11949.0"/>
        <n v="11798.0"/>
        <n v="11778.0"/>
        <n v="11713.0"/>
        <n v="11638.0"/>
        <n v="11456.0"/>
        <n v="11296.0"/>
        <n v="11285.0"/>
        <n v="11245.0"/>
        <n v="11222.0"/>
        <n v="11198.0"/>
        <n v="11185.0"/>
        <n v="11161.0"/>
        <n v="11160.0"/>
        <n v="11094.0"/>
        <n v="11081.0"/>
        <n v="10935.0"/>
        <n v="10921.0"/>
        <n v="10878.0"/>
        <n v="10719.0"/>
        <n v="10712.0"/>
        <n v="10699.0"/>
        <n v="10639.0"/>
        <n v="10564.0"/>
        <n v="10397.0"/>
        <n v="10387.0"/>
        <n v="10198.0"/>
        <n v="10196.0"/>
        <n v="10143.0"/>
        <n v="9988.0"/>
        <n v="9987.0"/>
        <n v="9985.0"/>
        <n v="9941.0"/>
        <n v="9927.0"/>
        <n v="9926.0"/>
        <n v="9706.0"/>
        <n v="9700.0"/>
        <n v="9667.0"/>
        <n v="9646.0"/>
        <n v="9568.0"/>
        <n v="9536.0"/>
        <n v="9520.0"/>
        <n v="9422.0"/>
        <n v="9404.0"/>
        <n v="9363.0"/>
        <n v="9303.0"/>
        <n v="9275.0"/>
        <n v="9254.0"/>
        <n v="9223.0"/>
        <n v="9168.0"/>
        <n v="9120.0"/>
        <n v="9091.0"/>
        <n v="9088.0"/>
        <n v="9016.0"/>
        <n v="8887.0"/>
        <n v="8764.0"/>
        <n v="8760.0"/>
        <n v="8752.0"/>
        <n v="8468.0"/>
        <n v="8440.0"/>
        <n v="8430.0"/>
        <n v="8411.0"/>
        <n v="8401.0"/>
        <n v="8206.0"/>
        <n v="8203.0"/>
        <n v="8167.0"/>
        <n v="8144.0"/>
        <n v="8103.0"/>
        <n v="8015.0"/>
        <n v="7926.0"/>
        <n v="7816.0"/>
        <n v="7741.0"/>
        <n v="7546.0"/>
        <n v="7508.0"/>
        <n v="7272.0"/>
        <n v="7229.0"/>
        <n v="7164.0"/>
        <n v="7120.0"/>
        <n v="7082.0"/>
        <n v="7079.0"/>
        <n v="7053.0"/>
        <n v="6988.0"/>
        <n v="6913.0"/>
        <n v="6868.0"/>
        <n v="6858.0"/>
        <n v="6822.0"/>
        <n v="6640.0"/>
        <n v="6567.0"/>
        <n v="6545.0"/>
        <n v="6521.0"/>
        <n v="6431.0"/>
        <n v="6420.0"/>
        <n v="6416.0"/>
        <n v="6340.0"/>
        <n v="6303.0"/>
        <n v="6243.0"/>
        <n v="6152.0"/>
        <n v="6105.0"/>
        <n v="6104.0"/>
        <n v="6093.0"/>
        <n v="6049.0"/>
        <n v="6000.0"/>
        <n v="5959.0"/>
        <n v="5950.0"/>
        <n v="5881.0"/>
        <n v="5879.0"/>
        <n v="5866.0"/>
        <n v="5814.0"/>
        <n v="5776.0"/>
        <n v="5738.0"/>
        <n v="5685.0"/>
        <n v="5677.0"/>
        <n v="5616.0"/>
        <n v="5533.0"/>
        <n v="5524.0"/>
        <n v="5464.0"/>
        <n v="5423.0"/>
        <n v="5408.0"/>
        <n v="5402.0"/>
        <n v="5364.0"/>
        <n v="5358.0"/>
        <n v="5356.0"/>
        <n v="5354.0"/>
        <n v="5240.0"/>
        <n v="5135.0"/>
        <n v="5100.0"/>
        <n v="4971.0"/>
        <n v="4963.0"/>
        <n v="4960.0"/>
        <n v="4950.0"/>
        <n v="4927.0"/>
        <n v="4811.0"/>
        <n v="4774.0"/>
        <n v="4765.0"/>
        <n v="4675.0"/>
        <n v="4553.0"/>
        <n v="4534.0"/>
        <n v="4502.0"/>
        <n v="4486.0"/>
        <n v="4431.0"/>
        <n v="4422.0"/>
        <n v="4366.0"/>
        <n v="4317.0"/>
        <n v="4303.0"/>
        <n v="4279.0"/>
        <n v="4238.0"/>
        <n v="4223.0"/>
        <n v="4179.0"/>
        <n v="4172.0"/>
        <n v="4142.0"/>
        <n v="4135.0"/>
        <n v="4125.0"/>
        <n v="4119.0"/>
        <n v="4024.0"/>
        <n v="3994.0"/>
        <n v="3873.0"/>
        <n v="3872.0"/>
        <n v="3799.0"/>
        <n v="3794.0"/>
        <n v="3785.0"/>
        <n v="3773.0"/>
        <n v="3754.0"/>
        <n v="3692.0"/>
        <n v="3667.0"/>
        <n v="3631.0"/>
        <n v="3626.0"/>
        <n v="3622.0"/>
        <n v="3620.0"/>
        <n v="3606.0"/>
        <n v="3597.0"/>
        <n v="3549.0"/>
        <n v="3538.0"/>
        <n v="3529.0"/>
        <n v="3445.0"/>
        <n v="3441.0"/>
        <n v="3421.0"/>
        <n v="3404.0"/>
        <n v="3397.0"/>
        <n v="3372.0"/>
        <n v="3366.0"/>
        <n v="3358.0"/>
        <n v="3357.0"/>
        <n v="3356.0"/>
        <n v="3342.0"/>
        <n v="3311.0"/>
        <n v="3294.0"/>
        <n v="3209.0"/>
        <n v="3203.0"/>
        <n v="3169.0"/>
        <n v="3134.0"/>
        <n v="3081.0"/>
        <n v="3073.0"/>
        <n v="3053.0"/>
        <n v="3050.0"/>
        <n v="2982.0"/>
        <n v="2970.0"/>
        <n v="2956.0"/>
        <n v="2916.0"/>
        <n v="2874.0"/>
        <n v="2873.0"/>
        <n v="2763.0"/>
        <n v="2753.0"/>
        <n v="2712.0"/>
        <n v="2689.0"/>
        <n v="2660.0"/>
        <n v="2657.0"/>
        <n v="2630.0"/>
        <n v="2628.0"/>
        <n v="2622.0"/>
        <n v="2599.0"/>
        <n v="2556.0"/>
        <n v="2532.0"/>
        <n v="2507.0"/>
        <n v="2500.0"/>
        <n v="2484.0"/>
        <n v="2456.0"/>
        <n v="2427.0"/>
        <n v="2413.0"/>
        <n v="2411.0"/>
        <n v="2390.0"/>
        <n v="2370.0"/>
        <n v="2342.0"/>
        <n v="2338.0"/>
        <n v="2298.0"/>
        <n v="2275.0"/>
        <n v="2272.0"/>
        <n v="2260.0"/>
        <n v="2258.0"/>
        <n v="2251.0"/>
        <n v="2236.0"/>
        <n v="2216.0"/>
        <n v="2190.0"/>
        <n v="2189.0"/>
        <n v="2168.0"/>
        <n v="2153.0"/>
        <n v="2140.0"/>
        <n v="2133.0"/>
        <n v="2088.0"/>
        <n v="2074.0"/>
        <n v="2069.0"/>
        <n v="2059.0"/>
        <n v="2056.0"/>
        <n v="2042.0"/>
        <n v="2037.0"/>
        <n v="2008.0"/>
        <n v="2005.0"/>
        <n v="2000.0"/>
        <n v="1974.0"/>
        <n v="1973.0"/>
        <n v="1970.0"/>
        <n v="1888.0"/>
        <n v="1874.0"/>
        <n v="1820.0"/>
        <n v="1807.0"/>
        <n v="1767.0"/>
        <n v="1762.0"/>
        <n v="1756.0"/>
        <n v="1698.0"/>
        <n v="1692.0"/>
        <n v="1689.0"/>
        <n v="1673.0"/>
        <n v="1628.0"/>
        <n v="1607.0"/>
        <n v="1563.0"/>
        <n v="1518.0"/>
        <n v="1492.0"/>
        <n v="1485.0"/>
        <n v="1479.0"/>
        <n v="1450.0"/>
        <n v="1434.0"/>
        <n v="1410.0"/>
        <n v="1396.0"/>
        <n v="1383.0"/>
        <n v="1377.0"/>
        <n v="1345.0"/>
        <n v="1327.0"/>
        <n v="1302.0"/>
        <n v="1291.0"/>
        <n v="1262.0"/>
        <n v="1261.0"/>
        <n v="1250.0"/>
        <n v="1244.0"/>
        <n v="1240.0"/>
        <n v="1211.0"/>
        <n v="1196.0"/>
        <n v="1179.0"/>
        <n v="1120.0"/>
        <n v="1114.0"/>
        <n v="1104.0"/>
        <n v="1103.0"/>
        <n v="1102.0"/>
        <n v="1100.0"/>
        <n v="1097.0"/>
        <n v="1086.0"/>
        <n v="1061.0"/>
        <n v="1050.0"/>
        <n v="1048.0"/>
        <n v="1032.0"/>
        <n v="1008.0"/>
        <n v="1003.0"/>
        <n v="997.0"/>
        <n v="993.0"/>
        <n v="981.0"/>
        <n v="977.0"/>
        <n v="947.0"/>
        <n v="946.0"/>
        <n v="932.0"/>
        <n v="926.0"/>
        <n v="899.0"/>
        <n v="890.0"/>
        <n v="888.0"/>
        <n v="887.0"/>
        <n v="875.0"/>
        <n v="863.0"/>
        <n v="855.0"/>
        <n v="842.0"/>
        <n v="837.0"/>
        <n v="828.0"/>
        <n v="819.0"/>
        <n v="816.0"/>
        <n v="813.0"/>
        <n v="809.0"/>
        <n v="806.0"/>
        <n v="797.0"/>
        <n v="788.0"/>
        <n v="787.0"/>
        <n v="777.0"/>
        <n v="764.0"/>
        <n v="755.0"/>
        <n v="725.0"/>
        <n v="701.0"/>
        <n v="686.0"/>
        <n v="672.0"/>
        <n v="668.0"/>
        <n v="616.0"/>
        <n v="611.0"/>
        <n v="609.0"/>
        <n v="602.0"/>
        <n v="601.0"/>
        <n v="594.0"/>
        <n v="592.0"/>
        <n v="585.0"/>
        <n v="558.0"/>
        <n v="549.0"/>
        <n v="542.0"/>
        <n v="541.0"/>
        <n v="525.0"/>
        <n v="522.0"/>
        <n v="516.0"/>
        <n v="511.0"/>
        <n v="476.0"/>
        <n v="470.0"/>
        <n v="464.0"/>
        <n v="433.0"/>
        <n v="406.0"/>
        <n v="402.0"/>
        <n v="396.0"/>
        <n v="383.0"/>
        <n v="380.0"/>
        <n v="369.0"/>
        <n v="357.0"/>
        <n v="351.0"/>
        <n v="324.0"/>
        <n v="318.0"/>
        <n v="301.0"/>
        <n v="296.0"/>
        <n v="281.0"/>
        <n v="207.0"/>
        <n v="181.0"/>
        <n v="131.0"/>
        <n v="84.0"/>
        <n v="81.0"/>
        <n v="59.0"/>
        <n v="54.0"/>
        <n v="51.0"/>
        <n v="50.0"/>
        <n v="22.0"/>
        <n v="14.0"/>
      </sharedItems>
    </cacheField>
    <cacheField name="Phân Nhóm" numFmtId="0">
      <sharedItems>
        <s v="Nhom 3: &lt; 3 thang"/>
        <s v="Nhom 2: 3-11 thang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962" sheet="fsku_classification_results"/>
  </cacheSource>
  <cacheFields>
    <cacheField name="fsku" numFmtId="0">
      <sharedItems>
        <s v="02.L1.6060.7250"/>
        <s v="02.L1.6060.7341"/>
        <s v="03.L1.3060.68416"/>
        <s v="03.L1.3060.7368"/>
        <s v="05.L1.3060.USG36001"/>
        <s v="05.L1.3060.USG36001D"/>
        <s v="05.L1.3060.USG36001V"/>
        <s v="05.L1.3060.USG36002"/>
        <s v="05.L1.3060.USG36002V"/>
        <s v="05.L1.3060.USG36003"/>
        <s v="05.L1.3060.USG36003D"/>
        <s v="05.L1.3060.USG36004"/>
        <s v="05.L1.3060.USG36005"/>
        <s v="05.L1.3060.USG36005D"/>
        <s v="05.L1.3060.USG36006"/>
        <s v="05.L1.3060.USG36009D"/>
        <s v="05.L2.6060.IP6002"/>
        <s v="05.L2.6060.IP6003"/>
        <s v="05.L2.6060.IP6005"/>
        <s v="05.L2.6060.IP6006"/>
        <s v="05.L2.6060.IP6007"/>
        <s v="05.L2.8080.IP8005"/>
        <s v="05.L2.8080.IP8006"/>
        <s v="10.L1.6060.6106"/>
        <s v="10.L2.3060.4549"/>
        <s v="10.L2.3060.4551"/>
        <s v="10.L2.3060.4552"/>
        <s v="10.L2.3060.4553"/>
        <s v="10.L2.3060.4555"/>
        <s v="10.L2.3060.4557"/>
        <s v="10.L2.3060.4564"/>
        <s v="10.L2.3060.4565"/>
        <s v="10.L2.3060.4567"/>
        <s v="10.L2.3060.4569"/>
        <s v="10.L2.3060.5791"/>
        <s v="10.L2.3060.5793"/>
        <s v="10.L2.6060.5167"/>
        <s v="10.L2.6060.5168"/>
        <s v="10.L2.6060.5191"/>
        <s v="10.L2.6060.5195"/>
        <s v="10.L2.6060.5618"/>
        <s v="10.L2.6060.6103"/>
        <s v="10.L2.6060.6157"/>
        <s v="10.L3.3060.4554"/>
        <s v="10.L3.3060.4621"/>
        <s v="10.L3.3060.4623"/>
        <s v="10.L3.3060.4624"/>
        <s v="10.L3.3060.4626"/>
        <s v="10.L3.3060.4631"/>
        <s v="10.L3.3060.4633"/>
        <s v="10.L3.3060.5067"/>
        <s v="12.L1.2550.U2540"/>
        <s v="14.L1.1590.AF091973001"/>
        <s v="14.L1.3060.36800V"/>
        <s v="14.L1.3060.36801V"/>
        <s v="14.L1.3060.36810"/>
        <s v="14.L1.3060.A36610"/>
        <s v="14.L1.3060.M36BL603"/>
        <s v="14.L1.60120.61432051"/>
        <s v="14.L1.60120.M61ST301"/>
        <s v="14.L1.60120.US6861"/>
        <s v="14.L1.6060.MS66199902"/>
        <s v="14.L1.8012.BL81807"/>
        <s v="14.L3.3060.A36822D"/>
        <s v="14.L3.3060.A36AG403"/>
        <s v="14.L3.6060.MS66199902"/>
        <s v="14.L3.8080.AF10888008"/>
        <s v="15.L2.6060.6601"/>
        <s v="15.L2.6060.6602"/>
        <s v="15.L3.6060.6601"/>
        <s v="15.L3.6060.6602"/>
        <s v="15.L3.6060.6604"/>
        <s v="20.L1.5050.35101"/>
        <s v="20.L1.5050.35102"/>
        <s v="20.L1.5050.35111"/>
        <s v="20.L1.5050.35112"/>
        <s v="20.L1.8080.28908"/>
        <s v="20.L1.8080.38903"/>
        <s v="20.L1.8080.38908"/>
        <s v="20.L1.8080.38909"/>
        <s v="20.L1.8080.38910"/>
        <s v="21.C1T0.DG.KSET.00"/>
        <s v="21.C2TE.DG.ADESP9.01"/>
        <s v="21.CG2WA.CR.SF.111"/>
        <s v="21.CG2WA.CR.SF.112"/>
        <s v="21.CG2WA.CR.SF.113"/>
        <s v="21.CT.AQUAFLEXR77.W18"/>
        <s v="25.L1.3060.FP3607"/>
        <s v="25.L1.3060.FP936601D"/>
        <s v="25.L1.3060.FP936602D"/>
        <s v="25.L1.3060.FP936609D"/>
        <s v="25.L1.6060.FP6604"/>
        <s v="25.L1.6060.FPU6006"/>
        <s v="25.L1.6060.FPU6010"/>
        <s v="25.L1.6060.FPU6014"/>
        <s v="25.L1.6060.FPU6018"/>
        <s v="25.L1.8080.FP18607"/>
        <s v="25.L1.8080.FPU188011"/>
        <s v="25.L2.6060.FP96666"/>
        <s v="26.L1.3060.C9806"/>
        <s v="27.L1.6060.DIC6644"/>
        <s v="29.L1.3060.FC3609T"/>
        <s v="29.L1.3060.FC3619T"/>
        <s v="29.L1.5050.FC5005"/>
        <s v="29.L1.5050.FCU5516"/>
        <s v="29.L2.8080.FPU188003"/>
        <s v="29.L2.8080.FPU8007"/>
        <s v="29.L2.8080.FPU8013"/>
        <s v="36.L1.6060.N6002"/>
        <s v="36.L1.8080.IP8002"/>
        <s v="36.L2.3060.USC3603V"/>
        <s v="36.L2.3060.USC3604D"/>
        <s v="36.L2.3060.USC3621"/>
        <s v="36.L2.3060.USC3622"/>
        <s v="36.L2.3060.USC3623"/>
        <s v="36.L2.3060.USC3624"/>
        <s v="36.L2.3060.USC3626"/>
        <s v="36.L2.3060.USC3627"/>
        <s v="36.L2.3060.USC3629"/>
        <s v="36.L2.3060.USC3631"/>
        <s v="36.L2.3060.USC3631D"/>
        <s v="36.L2.3060.USC3633"/>
        <s v="36.L2.3060.USC3637"/>
        <s v="36.L2.3060.USC3638"/>
        <s v="36.L2.3060.USC3639"/>
        <s v="36.L2.3060.USC3640"/>
        <s v="36.L2.3060.USC3641"/>
        <s v="36.L2.6060.IP6001"/>
        <s v="36.L2.6060.IP6002"/>
        <s v="36.L2.6060.IP6003"/>
        <s v="36.L2.6060.IP6004"/>
        <s v="36.L2.6060.IP6005"/>
        <s v="36.L2.6060.IP6006"/>
        <s v="36.L2.6060.IP6007"/>
        <s v="36.L2.6060.N6002"/>
        <s v="36.L2.8080.IP8001"/>
        <s v="36.L2.8080.IP8002"/>
        <s v="36.L2.8080.IP8003"/>
        <s v="36.L2.8080.IP8004"/>
        <s v="36.L2.8080.IP8005"/>
        <s v="36.L2.8080.IP8006"/>
        <s v="36.L2.8080.IP8007"/>
        <s v="36.L3.3060.USC3601D"/>
        <s v="36.L3.3060.USC3602D"/>
        <s v="36.L3.3060.USC3602V"/>
        <s v="36.L3.3060.USC3603D"/>
        <s v="36.L3.3060.USC3603V"/>
        <s v="36.L3.3060.USC3604D"/>
        <s v="36.L3.3060.USC3621"/>
        <s v="36.L3.3060.USC3622"/>
        <s v="36.L3.3060.USC3623"/>
        <s v="36.L3.3060.USC3624"/>
        <s v="36.L3.3060.USC3625"/>
        <s v="36.L3.3060.USC3626"/>
        <s v="36.L3.3060.USC3627"/>
        <s v="36.L3.3060.USC3628"/>
        <s v="36.L3.3060.USC3629"/>
        <s v="36.L3.3060.USC3629D"/>
        <s v="36.L3.3060.USC3630"/>
        <s v="36.L3.3060.USC3631"/>
        <s v="36.L3.3060.USC3632"/>
        <s v="36.L3.3060.USC3633"/>
        <s v="36.L3.3060.USC3635D"/>
        <s v="36.L3.3060.USC3637"/>
        <s v="36.L3.3060.USC3638"/>
        <s v="36.L3.3060.USC3639"/>
        <s v="36.L3.3060.USC3640"/>
        <s v="36.L3.3060.USC3641"/>
        <s v="36.L3.3060.USC3642"/>
        <s v="36.L3.6060.IP6001"/>
        <s v="36.L3.6060.IP6002"/>
        <s v="36.L3.6060.IP6003"/>
        <s v="36.L3.6060.IP6004"/>
        <s v="36.L3.6060.IP6005"/>
        <s v="36.L3.6060.IP6006"/>
        <s v="36.L3.6060.IP6007"/>
        <s v="36.L3.8080.IP8001"/>
        <s v="36.L3.8080.IP8002"/>
        <s v="36.L3.8080.IP8003"/>
        <s v="36.L3.8080.IP8004"/>
        <s v="36.L3.8080.IP8005"/>
        <s v="36.L3.8080.IP8007"/>
        <s v="38.L2.3060.ICC3600"/>
        <s v="38.L2.3060.ICC3600D"/>
        <s v="38.L2.3060.ICC3600V"/>
        <s v="38.L2.3060.ICC3601"/>
        <s v="38.L2.3060.ICC3601D"/>
        <s v="38.L2.3060.ICC3601V"/>
        <s v="38.L2.3060.ICC3602"/>
        <s v="38.L2.3060.ICC3602D"/>
        <s v="38.L2.3060.ICC3602V"/>
        <s v="38.L2.3060.ICC3603"/>
        <s v="38.L2.3060.ICC3603D"/>
        <s v="38.L2.3060.ICC3604"/>
        <s v="38.L2.3060.ICC3605"/>
        <s v="38.L2.3060.ICC3605D"/>
        <s v="38.L2.3060.ICC3606"/>
        <s v="38.L2.3060.ICC3607"/>
        <s v="38.L2.3060.ICC3607D"/>
        <s v="38.L2.3060.ICC3608"/>
        <s v="38.L2.3060.UGC3600"/>
        <s v="38.L2.3060.UGC3600AV"/>
        <s v="38.L2.3060.UGC3602"/>
        <s v="38.L2.3060.UGC3602AV"/>
        <s v="39.L2.3060.USGM3601"/>
        <s v="39.L2.3060.USGM3602"/>
        <s v="39.L2.3060.USGM3603"/>
        <s v="39.L2.3060.USGM3613"/>
        <s v="39.L2.3060.USGM3619"/>
        <s v="39.L2.4080.USG48012"/>
        <s v="39.L2.6060.UGG6001"/>
        <s v="39.L2.6060.UGG6004"/>
        <s v="39.L2.6060.UGG6006"/>
        <s v="39.L2.6060.UGG6007"/>
        <s v="39.L2.6060.UGG6010"/>
        <s v="39.L3.6060.UGG6001"/>
        <s v="39.L3.6060.UGG6003"/>
        <s v="39.L3.6060.UGG6004"/>
        <s v="39.L3.6060.UGG6006"/>
        <s v="39.L3.6060.UGG6007"/>
        <s v="39.L3.6060.UGG6010"/>
        <s v="39.L3.6060.USGM6008"/>
        <s v="41.L1.4080.MT483001"/>
        <s v="41.L1.4080.MT483001D"/>
        <s v="41.L1.4080.MT483001V"/>
        <s v="41.L1.4080.MT483002B"/>
        <s v="41.L1.4080.MT483002D"/>
        <s v="41.L1.4080.MT483002W"/>
        <s v="41.L1.4080.S4204"/>
        <s v="41.L1.4080.UT483001"/>
        <s v="41.L1.4080.UT483001D"/>
        <s v="41.L1.4080.UT483001V"/>
        <s v="41.L1.4080.UT483002B"/>
        <s v="41.L1.4080.UT483002W"/>
        <s v="41.L1.5050.UT552002"/>
        <s v="41.L1.6060.6106"/>
        <s v="41.L1.6060.6201"/>
        <s v="41.L1.6060.6202"/>
        <s v="41.L1.6060.6203"/>
        <s v="41.L1.6060.AM6157"/>
        <s v="41.L1.6060.MT663001"/>
        <s v="41.L1.6060.MT663002"/>
        <s v="41.L1.6060.MT663003"/>
        <s v="41.L1.6060.MT663004"/>
        <s v="41.L1.6060.MT663005"/>
        <s v="41.L1.6060.UT663001"/>
        <s v="41.L1.6060.UT663003"/>
        <s v="41.L1.6060.UT663004"/>
        <s v="41.L1.8080.MS883001"/>
        <s v="41.L1.8080.MS883002"/>
        <s v="41.L1.8080.MS883003"/>
        <s v="41.L1.8080.MS883006"/>
        <s v="41.L1.8080.MT883001"/>
        <s v="41.L1.8080.MT883002"/>
        <s v="41.L1.8080.MT883003"/>
        <s v="41.L1.8080.MT883004"/>
        <s v="41.L1.8080.MT883006"/>
        <s v="41.L1.8080.UT883001"/>
        <s v="41.L1.8080.UT883002"/>
        <s v="41.L1.8080.UT883003"/>
        <s v="41.L1.8080.UT883004"/>
        <s v="41.L1.8080.UT883006"/>
        <s v="41.L2.3060.D3209"/>
        <s v="41.L2.3060.R3101"/>
        <s v="41.L2.3060.R3103"/>
        <s v="41.L2.3060.R3104"/>
        <s v="41.L2.3060.R3106"/>
        <s v="41.L2.3060.R3107"/>
        <s v="41.L2.3060.R3108"/>
        <s v="41.L2.3060.R3109"/>
        <s v="41.L2.3060.R3114"/>
        <s v="41.L2.3060.R3116"/>
        <s v="41.L2.3060.R3201"/>
        <s v="41.L2.3060.R3207"/>
        <s v="41.L2.6060.M6154"/>
        <s v="43.HC.ALSN5.DEN"/>
        <s v="47.L1.6060.AFP96604"/>
        <s v="47.L1.6060.AFP96607"/>
        <s v="47.L1.6060.AFP966602"/>
        <s v="47.L1.6060.AFP96666"/>
        <s v="47.L1.6060.AFPH966001"/>
        <s v="47.L1.6060.FPU966002"/>
        <s v="21.C100.DG.MPECO.00"/>
        <s v="21.C100.DG.UNIECO.00"/>
        <s v="18.C100.DG.UTILE.00."/>
        <s v="22.C100.DG.UNILUXPRO.00"/>
        <s v="18.C100.DG.BMFIX.00."/>
        <s v="22.C100.DG.UC-PRO.00"/>
        <s v="22.C100.DG.UCPRO.00"/>
        <s v="29.L1.3060.FUSC3643"/>
        <s v="29.L1.3060.FUSC3644"/>
        <s v="29.L1.3060.FUSC3641"/>
        <s v="29.L1.3060.FUSC3642"/>
        <s v="20.L1.6060.A91662"/>
        <s v="05.L1.3060.USG36000"/>
        <s v="29.L1.3060.FC39004"/>
        <s v="41.L1.6060.AM6154"/>
        <s v="20.L1.6060.A91661"/>
        <s v="05.L1.6060.USG66008"/>
        <s v="41.L1.6060.AU6154"/>
        <s v="41.L1.5050.91504"/>
        <s v="20.L1.6060.A26112"/>
        <s v="41.L1.5050.91507"/>
        <s v="29.L1.3060.FC39002"/>
        <s v="41.L1.5050.91505"/>
        <s v="38.L1.3060.UGC3600"/>
        <s v="41.L1.5050.91501"/>
        <s v="36.L2.3060.USC3603"/>
        <s v="05.L1.6060.USG66001"/>
        <s v="29.L1.3060.FUSM3646"/>
        <s v="29.L1.3060.FUSM3645"/>
        <s v="29.L1.3060.FC39005"/>
        <s v="29.L1.3060.FUSM3650"/>
        <s v="38.L1.5050.SVUSC513"/>
        <s v="38.L1.3060.UGC3602"/>
        <s v="29.L1.3060.FC39003"/>
        <s v="20.L1.8080.91861"/>
        <s v="41.L1.3060.UT361001T"/>
        <s v="46.L1.4080.USC4804"/>
        <s v="41.L1.3060.MT361001T"/>
        <s v="05.L1.6060.USG66006"/>
        <s v="41.L1.5050.91503"/>
        <s v="46.L1.4080.USC4808"/>
        <s v="41.L1.5050.91506"/>
        <s v="29.L1.3060.FUSM3648"/>
        <s v="29.L1.3060.FUSM3649"/>
        <s v="41.L1.6060.S6154"/>
        <s v="38.L1.5050.SVUSC506"/>
        <s v="46.L1.4080.USC4806"/>
        <s v="41.L1.3060.U3307"/>
        <s v="29.L1.3060.FC39006"/>
        <s v="05.L1.6060.USG66007"/>
        <s v="25.L1.3060.FP936604"/>
        <s v="41.L1.6060.AM6155"/>
        <s v="05.L1.6060.USG66005"/>
        <s v="41.L1.5050.UT552001"/>
        <s v="29.L1.3060.FUSM3647"/>
        <s v="38.L1.5050.SVUSC512"/>
        <s v="38.L1.5050.SVKAI504"/>
        <s v="20.L1.8080.91862"/>
        <s v="38.L1.5050.SVUSC514"/>
        <s v="25.L1.3060.FP936612"/>
        <s v="05.L1.6060.USG66003"/>
        <s v="41.L1.3060.M3301"/>
        <s v="10.L2.3060.4554"/>
        <s v="05.L1.6060.USG66004"/>
        <s v="29.L1.3060.FC39012"/>
        <s v="41.L1.6060.AU6153"/>
        <s v="47.L1.3060.FP936606"/>
        <s v="29.L1.3060.FC39007"/>
        <s v="38.L1.5050.SVUSC511"/>
        <s v="41.L1.6060.M6156"/>
        <s v="05.L1.8080.USG88008"/>
        <s v="29.L1.3060.FUSC3643V"/>
        <s v="46.L1.4080.USC4809"/>
        <s v="20.L1.6060.A66103"/>
        <s v="41.L1.3060.U3308"/>
        <s v="41.L1.3060.M3303"/>
        <s v="20.L1.6060.A36917"/>
        <s v="25.L1.4080.FP948603"/>
        <s v="38.L1.4080.UT481004T"/>
        <s v="25.L1.3060.FP936606"/>
        <s v="47.L1.3060.FP936612"/>
        <s v="41.L1.3060.U3301"/>
        <s v="41.L1.3060.U3305"/>
        <s v="41.L1.3060.M3306"/>
        <s v="41.L1.6060.AU6151"/>
        <s v="25.L1.6060.FPU966003"/>
        <s v="29.L1.3060.FUSC3644V"/>
        <s v="25.L1.3060.FP936602"/>
        <s v="38.L1.5050.SVKAI505"/>
        <s v="29.L1.3060.FC39010"/>
        <s v="20.L1.6060.A66105"/>
        <s v="29.L1.3060.FC39011"/>
        <s v="47.L1.6060.FPU966003"/>
        <s v="41.L1.3060.M3305"/>
        <s v="05.L1.3060.KAG36900"/>
        <s v="47.L1.3060.FP936604"/>
        <s v="25.L1.3060.FP936605"/>
        <s v="20.L1.6060.A26905"/>
        <s v="47.L1.8080.FPU8003"/>
        <s v="47.L1.3060.FP936601"/>
        <s v="36.L2.3060.USC3602"/>
        <s v="38.L1.3060.KAI3607"/>
        <s v="36.L2.3060.USC3601"/>
        <s v="41.L1.6060.AM6153"/>
        <s v="41.L1.5050.91508"/>
        <s v="25.L1.6060.FP966602"/>
        <s v="20.L1.6060.A66101"/>
        <s v="41.L1.3060.U3306"/>
        <s v="03.L1.3060.68414"/>
        <s v="39.L1.4080.USG48009"/>
        <s v="41.L1.5050.91502"/>
        <s v="29.L1.3060.FUSM3652"/>
        <s v="29.L1.3060.FUSC3641V"/>
        <s v="38.L1.3060.KAI3608"/>
        <s v="29.L1.3060.FUSC3642V"/>
        <s v="41.L1.3060.S3103"/>
        <s v="05.L1.6060.USG66002"/>
        <s v="20.L1.6060.A66104"/>
        <s v="41.L1.6060.U6156"/>
        <s v="41.L1.6060.AM6151"/>
        <s v="20.L1.6060.A36005"/>
        <s v="36.L2.3060.USC3604"/>
        <s v="20.L1.6060.A26172"/>
        <s v="41.L1.5050.MS552001"/>
        <s v="41.L1.6060.MS663002"/>
        <s v="20.L1.8080.89804"/>
        <s v="25.L1.3060.FP936609"/>
        <s v="36.L1.6060.IP6004"/>
        <s v="36.L1.6060.IP6006"/>
        <s v="20.L1.6060.A66102"/>
        <s v="41.L1.3060.M3307"/>
        <s v="41.L1.3060.S3101"/>
        <s v="20.L1.6060.A16901"/>
        <s v="36.L1.6060.IP6001"/>
        <s v="20.L1.6060.A89605"/>
        <s v="20.L1.6060.A36916"/>
        <s v="05.L1.3060.KAG36901"/>
        <s v="41.L1.3060.U3303"/>
        <s v="38.L1.5050.SVKAI502"/>
        <s v="20.L1.8080.89801"/>
        <s v="41.L1.4060.MT462002"/>
        <s v="41.L1.4080.M4101"/>
        <s v="20.L1.6060.A89604"/>
        <s v="05.L1.8080.USG88001"/>
        <s v="36.L3.3060.USC3603"/>
        <s v="41.L1.3060.M3308"/>
        <s v="41.L1.6060.MS663004"/>
        <s v="41.L1.3060.M3108"/>
        <s v="25.L1.3060.FP936608"/>
        <s v="36.L1.6060.IP6007"/>
        <s v="20.L1.8080.18910"/>
        <s v="36.L1.6060.IP6005"/>
        <s v="10.L2.3060.4547"/>
        <s v="47.L1.3060.FP936610"/>
        <s v="41.L1.3060.MS361001T"/>
        <s v="41.L1.6060.M6157"/>
        <s v="36.L1.6060.IP6002"/>
        <s v="41.L1.3060.U3106"/>
        <s v="41.L1.4080.U4101"/>
        <s v="38.L1.4080.UT481001T"/>
        <s v="10.L2.3060.4566"/>
        <s v="20.L1.8080.89802"/>
        <s v="25.L1.6060.FPU966005"/>
        <s v="20.L1.6060.A89601"/>
        <s v="20.L1.6060.A16004"/>
        <s v="47.L1.3060.FP936607"/>
        <s v="25.L1.4080.FP948604"/>
        <s v="29.L1.3060.FC39013"/>
        <s v="29.L1.3060.FUSC3636"/>
        <s v="20.L1.6060.A16405"/>
        <s v="05.L1.3060.KAG36904"/>
        <s v="41.L1.6060.S6155"/>
        <s v="29.L1.3060.FUSM3651"/>
        <s v="29.L1.3060.FC39004D"/>
        <s v="38.L1.5050.SVICC503"/>
        <s v="41.L1.6060.U6158"/>
        <s v="20.L1.6060.A66106"/>
        <s v="41.L1.3060.U3105"/>
        <s v="29.L1.3060.FC39008"/>
        <s v="20.L1.8080.68104"/>
        <s v="20.L1.8080.18915"/>
        <s v="41.L1.4080.U4103"/>
        <s v="20.L1.6060.A89603"/>
        <s v="29.L1.3060.FUSC3635"/>
        <s v="25.L1.4080.FP948602"/>
        <s v="20.L1.8080.18911"/>
        <s v="36.L3.3060.USC3604"/>
        <s v="20.L1.6060.A16001"/>
        <s v="05.L1.3060.KAG36906"/>
        <s v="25.L1.3060.FP936613"/>
        <s v="20.L1.8080.89805"/>
        <s v="47.L1.3060.FP936605"/>
        <s v="20.L1.8080.18912"/>
        <s v="29.L1.3060.FC39009"/>
        <s v="20.L1.6060.A36919"/>
        <s v="38.L1.5050.SVUSC510"/>
        <s v="29.L1.6060.FP96601"/>
        <s v="20.L1.6060.A16902"/>
        <s v="41.L1.6060.MS663001"/>
        <s v="29.L1.3060.FC39002D"/>
        <s v="10.L1.5050.5322"/>
        <s v="41.L1.6060.AS6152"/>
        <s v="41.L1.3060.M3107"/>
        <s v="20.L1.5050.35201"/>
        <s v="20.L1.6060.A16003"/>
        <s v="41.L1.6060.S6104"/>
        <s v="39.L1.4080.USG48003"/>
        <s v="41.L1.4080.S4101"/>
        <s v="47.L1.3060.FP936608"/>
        <s v="25.L1.3060.FP936607"/>
        <s v="20.L1.6060.A16903"/>
        <s v="25.L1.8080.FPU188003"/>
        <s v="41.L1.6060.AU6155"/>
        <s v="36.L3.3060.USC3602"/>
        <s v="36.L3.3060.USC3601"/>
        <s v="25.L1.4080.FP948601"/>
        <s v="20.L1.8080.89806"/>
        <s v="20.L1.6060.A89602"/>
        <s v="20.L1.6060.A89607"/>
        <s v="20.L1.6060.A26901"/>
        <s v="25.L1.6060.FP966605"/>
        <s v="39.L1.4080.USG48006"/>
        <s v="20.L1.8080.68105"/>
        <s v="41.L2.3060.D3114"/>
        <s v="20.L1.6060.A26903"/>
        <s v="29.L1.6060.FP966602"/>
        <s v="20.L1.8080.68103"/>
        <s v="05.L1.8080.USG88005"/>
        <s v="47.L1.3060.FP936613"/>
        <s v="05.L1.8080.USG88004"/>
        <s v="05.L1.8080.USG88006"/>
        <s v="41.L1.6060.U6157"/>
        <s v="41.L1.4060.MT462004"/>
        <s v="25.L1.6060.FP96601"/>
        <s v="20.L1.8080.68102"/>
        <s v="20.L1.6060.A89606"/>
        <s v="05.L1.8080.USG88007"/>
        <s v="25.L1.3060.FP936601"/>
        <s v="29.L1.8080.FPU188003"/>
        <s v="29.L1.6060.FPU966002"/>
        <s v="47.L1.4080.FP948604"/>
        <s v="20.L1.8080.38915"/>
        <s v="20.L1.8080.89807"/>
        <s v="20.L1.6060.A36004"/>
        <s v="47.L1.6060.FPU966009"/>
        <s v="20.L1.5050.35106"/>
        <s v="20.L1.8080.89803"/>
        <s v="47.L1.4080.FP948601"/>
        <s v="20.L1.6060.A89651"/>
        <s v="38.L1.3060.UGC3602AV"/>
        <s v="05.L1.3060.KAG36902"/>
        <s v="25.L1.3060.FP936610"/>
        <s v="20.L1.8080.68101"/>
        <s v="46.L1.4080.USC4806V"/>
        <s v="20.L1.6060.A89658"/>
        <s v="41.L1.4060.MT462003"/>
        <s v="29.L1.3060.FUSC3644D"/>
        <s v="39.L1.4080.USG48011"/>
        <s v="29.L1.6060.FP96608"/>
        <s v="20.L1.8080.68106"/>
        <s v="29.L1.3060.FUSC3643D"/>
        <s v="29.L1.6060.FPH966001"/>
        <s v="36.L1.6060.IP6003"/>
        <s v="20.L1.6060.A36003"/>
        <s v="20.L1.6060.A36902"/>
        <s v="41.L1.6060.MS663003"/>
        <s v="29.L1.3060.FUSM3645D"/>
        <s v="47.L1.4080.FP948602"/>
        <s v="20.L1.8080.89851"/>
        <s v="46.L1.4080.USC4804V"/>
        <s v="47.L1.6060.FPU6666"/>
        <s v="29.L1.3060.FUSC3641D"/>
        <s v="41.L1.4080.S4104"/>
        <s v="41.L1.4080.S4106"/>
        <s v="20.L1.6060.A16114"/>
        <s v="20.L1.6060.A16906"/>
        <s v="25.L1.8080.FP18601"/>
        <s v="47.L1.3060.FP936611"/>
        <s v="25.L1.6060.FPU966002"/>
        <s v="20.L1.6060.A89656"/>
        <s v="47.L1.8080.FPU8017"/>
        <s v="41.L1.3060.MT361003V"/>
        <s v="41.L1.6060.AS6154"/>
        <s v="29.L1.3060.FC39006D"/>
        <s v="05.L1.8080.USG88002"/>
        <s v="46.L1.4080.USC4808V"/>
        <s v="47.L1.6060.FP96600"/>
        <s v="25.L1.6060.FP96666"/>
        <s v="41.L1.4060.MT462001"/>
        <s v="05.L1.6060.IP6003"/>
        <s v="36.L2.3060.USC3625"/>
        <s v="25.L1.6060.FPH966001"/>
        <s v="41.L1.6060.AU6152"/>
        <s v="20.L1.8080.89856"/>
        <s v="41.L1.5050.UT552003"/>
        <s v="25.L1.6060.FPU966001"/>
        <s v="41.L1.3060.UT361003V"/>
        <s v="25.L1.6060.FP96608"/>
        <s v="25.L1.3060.FP936604D"/>
        <s v="18.C200.DG.BMSET.00."/>
        <s v="20.L1.6060.A36903"/>
        <s v="29.L1.8080.FP18604"/>
        <s v="41.L1.3060.M3105"/>
        <s v="05.L1.3060.KAG36905"/>
        <s v="05.L1.8080.USG88003"/>
        <s v="25.L1.6060.FP96604"/>
        <s v="47.L1.4080.FP948603"/>
        <s v="20.L1.8080.89854"/>
        <s v="41.L1.5050.S5151"/>
        <s v="39.L1.4080.USG48005"/>
        <s v="41.L1.3060.M3106"/>
        <s v="20.L1.8080.38919"/>
        <s v="20.L1.6060.A36006"/>
        <s v="05.L1.3060.USG36000BV"/>
        <s v="41.L1.4080.U4104"/>
        <s v="41.L1.3060.M3304"/>
        <s v="41.L1.4060.MS462001"/>
        <s v="20.L1.6060.A26107"/>
        <s v="41.L1.4060.MS462002"/>
        <s v="05.L1.3060.KAG36903"/>
        <s v="36.L1.8080.IP8004"/>
        <s v="41.L1.6060.AU6158"/>
        <s v="41.L1.3060.U3407"/>
        <s v="20.L1.8080.89853"/>
        <s v="20.L1.8080.38916"/>
        <s v="20.L1.6060.A89653"/>
        <s v="27.L1.6060.DIC6617"/>
        <s v="25.L1.8080.FP18604"/>
        <s v="25.L1.6060.FPU966013"/>
        <s v="39.L1.4080.USG48008"/>
        <s v="05.L1.3060.USG36009"/>
        <s v="47.L1.8080.FP18600"/>
        <s v="05.L1.8080.IP8008"/>
        <s v="05.L1.3060.KAG36907"/>
        <s v="47.L1.3060.FP936606D"/>
        <s v="25.L1.3060.FP936611"/>
        <s v="41.L1.3060.S3102"/>
        <s v="41.L1.3060.M3302"/>
        <s v="20.L1.6060.A89654"/>
        <s v="20.L1.6060.A16905"/>
        <s v="20.L1.8080.89855"/>
        <s v="41.L1.3060.M3405"/>
        <s v="20.L1.100100.91113"/>
        <s v="25.L1.6060.FP96606"/>
        <s v="29.L1.8080.FPU188035"/>
        <s v="36.L1.8080.IP8001"/>
        <s v="39.L1.4080.USG48015"/>
        <s v="05.L1.3060.USG36008"/>
        <s v="38.L1.3060.UGC3600BV"/>
        <s v="41.L1.6060.S6156"/>
        <s v="38.L1.3060.ICC3601D"/>
        <s v="41.L1.3060.U3405"/>
        <s v="41.L1.6060.S6157"/>
        <s v="05.L1.3060.USG36000AV"/>
        <s v="39.L2.6060.UGG6003"/>
        <s v="20.L1.6060.A89657"/>
        <s v="47.L1.8080.FP18666"/>
        <s v="41.L1.3060.S3104"/>
        <s v="25.L1.6060.FPU966009"/>
        <s v="20.L1.8080.89857"/>
        <s v="25.L1.8080.FP18600"/>
        <s v="05.L1.8080.IP8007"/>
        <s v="25.L1.8080.FPU188035"/>
        <s v="20.L1.100100.91112"/>
        <s v="29.L1.3060.FP936601D"/>
        <s v="36.L1.8080.IP8006"/>
        <s v="41.L1.5050.S5152"/>
        <s v="20.L1.6060.A26006"/>
        <s v="29.L1.3060.FUSC3642D"/>
        <s v="20.L1.8080.89858"/>
        <s v="29.L1.3060.FC39012D"/>
        <s v="36.L1.8080.IP8007"/>
        <s v="41.L1.6060.AM6156"/>
        <s v="41.L1.3060.U3302"/>
        <s v="29.L1.3060.FUSC3639D"/>
        <s v="29.L1.8080.FPU188011"/>
        <s v="05.L1.3060.USG36007"/>
        <s v="29.L1.3060.FUSM3649D"/>
        <s v="25.L1.8080.FPU188005"/>
        <s v="29.L1.8080.FP18608"/>
        <s v="47.L1.3060.FP936612D"/>
        <s v="25.L1.3060.FP936612D"/>
        <s v="41.L1.4060.MS462003"/>
        <s v="41.L1.3060.MS361003V"/>
        <s v="25.L1.8080.FP18606"/>
        <s v="20.L1.6060.A36904"/>
        <s v="38.L1.3060.UGC3600AV"/>
        <s v="41.L1.5050.MS552002"/>
        <s v="47.L1.3060.FP936601V"/>
        <s v="46.L1.4080.USC4809V"/>
        <s v="38.L1.3060.KAI3600D"/>
        <s v="05.L1.3060.USG36010"/>
        <s v="29.L1.3060.FUSM3647D"/>
        <s v="47.L1.6060.FP966605"/>
        <s v="29.L1.3060.FC39010D"/>
        <s v="36.L1.8080.IP8005"/>
        <s v="20.L1.8080.89852"/>
        <s v="41.L1.4080.S4107"/>
        <s v="00.L1.8080.P87625N"/>
        <s v="41.L1.6060.MS663005"/>
        <s v="29.L1.4080.FP948604V"/>
        <s v="21.PG.MAPELATEXVN.25"/>
        <s v="05.L1.3060.KAG36900V"/>
        <s v="41.L1.4060.MS462004"/>
        <s v="29.L1.3060.FC39008D"/>
        <s v="41.L1.4080.S4103"/>
        <s v="41.L1.4080.S4108"/>
        <s v="38.L1.3060.KAI3601AD"/>
        <s v="29.L1.8080.FP18606"/>
        <s v="25.L1.6060.FPU6016"/>
        <s v="20.L1.6060.A89655"/>
        <s v="41.L1.3060.U3304"/>
        <s v="12.L1.2550.A2535"/>
        <s v="41.L1.6060.AU6156"/>
        <s v="41.L1.3060.M3407"/>
        <s v="10.L2.3060.4556"/>
        <s v="29.L1.6060.FP966605"/>
        <s v="41.L1.5050.S5155"/>
        <s v="20.L1.100100.91121"/>
        <s v="41.L1.5050.UT552004"/>
        <s v="41.L1.4080.M4203"/>
        <s v="12.L1.2550.A2538"/>
        <s v="20.L1.100100.91110"/>
        <s v="05.L1.8080.688002"/>
        <s v="38.L1.3060.KAI3607D"/>
        <s v="21.C2TE.DG.ADESP9.00"/>
        <s v="41.L1.3060.S3107"/>
        <s v="47.L1.8080.FPU188005"/>
        <s v="47.L1.3060.FP936604D"/>
        <s v="25.L1.3060.FP936606D"/>
        <s v="38.L1.3060.UGC3600BD"/>
        <s v="47.L1.8080.FPU188013"/>
        <s v="25.L1.3060.FP936602V"/>
        <s v="41.L1.4080.S4109"/>
        <s v="46.L1.4080.USC4806D"/>
        <s v="41.L1.3060.S3108"/>
        <s v="20.L1.6060.26500"/>
        <s v="14.L1.3060.36800"/>
        <s v="41.L1.4080.S4105"/>
        <s v="25.L1.8080.FP18608"/>
        <s v="20.L1.6060.26400"/>
        <s v="41.L1.4080.M4201"/>
        <s v="05.L1.8080.IP8003"/>
        <s v="20.L1.8080.38906"/>
        <s v="36.L2.8080.N8002"/>
        <s v="05.L1.3060.KAG36901V"/>
        <s v="47.L1.4080.FP948602V"/>
        <s v="25.L1.6060.FPU6007"/>
        <s v="05.L1.3060.USG36000BD"/>
        <s v="47.L1.8080.FPU188033"/>
        <s v="20.L1.100100.91120"/>
        <s v="29.L1.6060.FPU966001"/>
        <s v="25.L1.8080.FPU188033"/>
        <s v="47.L1.4080.FP948601V"/>
        <s v="41.L1.3060.M3403"/>
        <s v="39.L1.4080.USG48010"/>
        <s v="38.L1.4080.UT481001V"/>
        <s v="25.L1.3060.FP936609V"/>
        <s v="20.L1.100100.91111"/>
        <s v="47.L1.3060.FP936608V"/>
        <s v="29.L1.3060.FUSC3635D"/>
        <s v="41.L1.5050.S5154"/>
        <s v="20.L1.6060.A86301"/>
        <s v="39.L1.4080.USG48004"/>
        <s v="46.L1.4080.USC4804D"/>
        <s v="38.L1.4080.UT481006V"/>
        <s v="27.L1.6060.SV6004"/>
        <s v="38.L1.4080.UT481005V"/>
        <s v="25.L1.8080.FPU188013"/>
        <s v="29.L1.8080.FP18600"/>
        <s v="41.L2.3060.D3116"/>
        <s v="29.L1.4080.FP948603D"/>
        <s v="41.L1.3060.M3207"/>
        <s v="10.L2.3060.4606"/>
        <s v="36.L1.8080.IP8003"/>
        <s v="25.L1.6060.FP96600"/>
        <s v="42.HC.A300FUS.TRONG"/>
        <s v="25.L1.8080.FPU188017"/>
        <s v="39.L1.4080.USG48007"/>
        <s v="47.L1.6060.AFPU966009"/>
        <s v="47.L1.3060.FP936610D"/>
        <s v="29.L1.6060.FPU966013"/>
        <s v="14.L1.3060.A36AG403"/>
        <s v="05.L1.3060.USG36000AD"/>
        <s v="25.L1.3060.FP936608V"/>
        <s v="38.L1.4080.UT481004V"/>
        <s v="05.L1.3060.KAG36906D"/>
        <s v="05.L1.3060.KAG36904D"/>
        <s v="41.L1.4080.U4201"/>
        <s v="25.L1.4080.FP948604V"/>
        <s v="25.L1.6060.FPU6017"/>
        <s v="44.HC.A500UC.TRONG"/>
        <s v="20.L1.6060.A89652"/>
        <s v="41.L1.3060.S3201"/>
        <s v="47.L1.3060.FP936601D"/>
        <s v="41.L1.5050.MS552003"/>
        <s v="47.L1.6060.AFP96600"/>
        <s v="25.L1.4080.FP948603V"/>
        <s v="25.L1.4080.FP948602V"/>
        <s v="38.L1.4080.UT481002V"/>
        <s v="38.L1.3060.UGC3602AD"/>
        <s v="20.L1.100100.91122"/>
        <s v="47.L1.4080.FP948603V"/>
        <s v="25.L1.6060.FP96607"/>
        <s v="41.L1.3060.M3401"/>
        <s v="39.L1.4080.USG48016"/>
        <s v="41.L1.3060.S3105"/>
        <s v="47.L1.8080.FPU188035"/>
        <s v="22.CG2WA.CR.TILEJOINT.00"/>
        <s v="41.L1.3060.U3205"/>
        <s v="46.L1.4080.USC4808D"/>
        <s v="05.L1.3060.KAG36901D"/>
        <s v="41.L1.4080.S4206"/>
        <s v="41.L1.3060.U3401"/>
        <s v="41.L1.3060.S3203"/>
        <s v="40.L1.3060.USC3604D"/>
        <s v="47.L1.4080.FP948601D"/>
        <s v="25.L1.4080.FP948601V"/>
        <s v="47.L1.4080.FP948604V"/>
        <s v="29.L1.3060.FUSM3651D"/>
        <s v="41.L1.3060.M3205"/>
        <s v="41.L1.3060.S3106"/>
        <s v="41.L1.3060.UT361002D"/>
        <s v="47.L1.4080.FP948602D"/>
        <s v="36.L3.3060.USC3637D"/>
        <s v="05.L1.3060.KAG36900D"/>
        <s v="41.L1.4080.S4201"/>
        <s v="47.L1.8080.FPU188011"/>
        <s v="38.L1.4080.UT481003V"/>
        <s v="41.L1.5050.S5153"/>
        <s v="47.L1.6060.MECO633"/>
        <s v="05.L1.3060.KAG36902D"/>
        <s v="41.L1.3060.S3207"/>
        <s v="05.L1.3060.USG36007D"/>
        <s v="41.L1.3060.MT361002D"/>
        <s v="41.L1.4080.U4203"/>
        <s v="46.L1.4080.USC4809D"/>
        <s v="21.CG2WA.CR.SF.00"/>
        <s v="29.L1.6060.FPU966005"/>
        <s v="10.L1.3060.68002"/>
        <s v="38.L1.4080.UT481004D"/>
        <s v="29.L1.3060.FPH3626V"/>
        <s v="41.L2.3060.D3214"/>
        <s v="25.L1.3060.FP936610D"/>
        <s v="41.L1.4080.S4208"/>
        <s v="38.L1.4080.UT481001D"/>
        <s v="38.L1.3060.UGC3602BD"/>
        <s v="47.L1.4080.FP948603D"/>
        <s v="47.L1.3060.FP936608D"/>
        <s v="41.L1.3060.U3403"/>
        <s v="38.L1.4080.UT481002D"/>
        <s v="47.L1.4080.FP948604D"/>
        <s v="38.L1.4080.UT481005D"/>
        <s v="21.CT.AQUAFLEXR77.GREY4"/>
        <s v="47.L2.8080.CTN8002DB"/>
        <s v="14.L1.3060.36822"/>
        <s v="25.L1.4080.FP948604D"/>
        <s v="38.L1.4080.UT481006D"/>
        <s v="25.L1.4080.FP948603D"/>
        <s v="47.L1.6060.AFP966605"/>
        <s v="25.L1.4080.FP948601D"/>
        <s v="14.L1.3060.A36SG405D"/>
        <s v="43.HC.ALSN5.XAM"/>
        <s v="12.L1.2550.A2534"/>
        <s v="41.L1.3060.U3207"/>
        <s v="20.L1.100100.91123"/>
        <s v="41.L1.3060.S3205"/>
        <s v="42.HC.A300FUS.TRANG"/>
        <s v="42.HC.A500FUS.TRANG"/>
        <s v="41.L1.3060.MS361002D"/>
        <s v="42.HC.A500FUS.TRONG"/>
        <s v="45.PK.LUX.MA.07"/>
        <s v="25.L1.4080.FP948602D"/>
        <s v="25.L1.3060.FP936608D"/>
        <s v="45.PK.LUX.MA.304.05"/>
        <s v="29.L1.3060.FPH3626D"/>
        <s v="45.PK.LUX.TS.120.120.54"/>
        <s v="45.PK.LUX.TS.120.120.62"/>
        <s v="45.PK.LUX.VK.505"/>
        <s v="38.L1.4080.UT481003D"/>
        <s v="45.PK.LUX.HG.606"/>
        <s v="21.CT.AQUAFLEXR77.W4"/>
        <s v="45.PK.LUX.XP.304"/>
        <s v="20.L1.100100.51107"/>
        <s v="45.TB.LUX.CRC.82.45.2.K"/>
        <s v="00.KCB.100.NS"/>
        <s v="00.KCB.150.NS"/>
        <s v="00.KCB.200.NS"/>
        <s v="00.KCT.100.NS"/>
        <s v="00.KCT.150.NS"/>
        <s v="00.KCT.200.NS"/>
        <s v="00.KIM.01"/>
        <s v="00.NEM.TS"/>
        <s v="03.L1.6060.8000"/>
        <s v="03.L1.6060.8050"/>
        <s v="05.L1.6060.686001"/>
        <s v="05.L1.6060.686002"/>
        <s v="05.L1.6060.686003"/>
        <s v="05.L1.6060.686004"/>
        <s v="05.L1.6060.686005"/>
        <s v="05.L1.6060.686006"/>
        <s v="05.L1.6060.686007"/>
        <s v="05.L1.6060.IP6001"/>
        <s v="05.L1.6060.IP6002"/>
        <s v="05.L1.6060.IP6004"/>
        <s v="05.L1.6060.IP6005"/>
        <s v="05.L1.6060.IP6006"/>
        <s v="05.L1.6060.IP6007"/>
        <s v="05.L1.8080.688001"/>
        <s v="05.L1.8080.688003"/>
        <s v="05.L1.8080.688004"/>
        <s v="05.L1.8080.688005"/>
        <s v="05.L1.8080.688006"/>
        <s v="05.L1.8080.688007"/>
        <s v="05.L1.8080.IP8001"/>
        <s v="05.L1.8080.IP8002"/>
        <s v="05.L1.8080.IP8004"/>
        <s v="05.L1.8080.IP8005"/>
        <s v="05.L1.8080.IP8006"/>
        <s v="09.L1.1590.CA09GK15901"/>
        <s v="09.L1.1590.CA09GK15902"/>
        <s v="09.L1.1590.CA09GK15903"/>
        <s v="09.L1.1590.CA09GK15904"/>
        <s v="09.L1.1590.CA09GK15905"/>
        <s v="09.L1.1590.CA10GK15901"/>
        <s v="09.L1.1590.CA10GK15902"/>
        <s v="09.L1.1590.CA10GK15903"/>
        <s v="09.L1.1590.CA10GK15904"/>
        <s v="09.L1.1590.CA10GK15905"/>
        <s v="09.L1.3060.CA7GM3602"/>
        <s v="09.L1.3060.CA7GM3603"/>
        <s v="09.L1.3060.CA8GM3603"/>
        <s v="09.L1.3060.CA8GM3604"/>
        <s v="09.L1.3060.CAGM36D1"/>
        <s v="09.L1.3060.CAGM36D4"/>
        <s v="09.L1.6060.CA01GM6601"/>
        <s v="09.L1.6060.CA01GM6602"/>
        <s v="09.L1.6060.CA03GM6601"/>
        <s v="09.L1.6060.CA03GM6602"/>
        <s v="09.L1.6060.CA05GM6601"/>
        <s v="09.L1.6060.CA08GM6602"/>
        <s v="10.L1.3060.4547"/>
        <s v="10.L1.3060.4548"/>
        <s v="10.L1.3060.4549"/>
        <s v="10.L1.3060.4551"/>
        <s v="10.L1.3060.4552"/>
        <s v="10.L1.3060.4553"/>
        <s v="10.L1.3060.4554"/>
        <s v="10.L1.3060.4555"/>
        <s v="10.L1.3060.4556"/>
        <s v="10.L1.3060.4557"/>
        <s v="10.L1.3060.4558"/>
        <s v="10.L1.3060.4559"/>
        <s v="10.L1.3060.4561"/>
        <s v="10.L1.3060.4562"/>
        <s v="10.L1.3060.4563"/>
        <s v="10.L1.3060.4564"/>
        <s v="10.L1.3060.4565"/>
        <s v="10.L1.3060.4566"/>
        <s v="10.L1.3060.4567"/>
        <s v="10.L1.3060.4568"/>
        <s v="10.L1.3060.4569"/>
        <s v="10.L1.3060.4571"/>
        <s v="10.L1.3060.4572"/>
        <s v="10.L1.3060.4573"/>
        <s v="10.L1.3060.4604"/>
        <s v="10.L1.3060.4605"/>
        <s v="10.L1.3060.4606"/>
        <s v="10.L1.3060.4607"/>
        <s v="10.L1.3060.4608"/>
        <s v="10.L1.3060.4609"/>
        <s v="10.L1.3060.4611"/>
        <s v="10.L1.3060.4612"/>
        <s v="10.L1.3060.4613"/>
        <s v="10.L1.3060.4614"/>
        <s v="10.L1.3060.4615"/>
        <s v="10.L1.3060.4616"/>
        <s v="10.L1.3060.4617"/>
        <s v="10.L1.3060.4618"/>
        <s v="10.L1.3060.4619"/>
        <s v="10.L1.3060.4621"/>
        <s v="10.L1.3060.4622"/>
        <s v="10.L1.3060.4623"/>
        <s v="10.L1.3060.4624"/>
        <s v="10.L1.3060.4625"/>
        <s v="10.L1.3060.4626"/>
        <s v="10.L1.3060.4631"/>
        <s v="10.L1.3060.4632"/>
        <s v="10.L1.3060.4633"/>
        <s v="10.L1.3060.5027"/>
        <s v="10.L1.3060.5028"/>
        <s v="10.L1.3060.5029"/>
        <s v="10.L1.3060.5067"/>
        <s v="10.L1.3060.5068"/>
        <s v="10.L1.3060.5069"/>
        <s v="10.L1.3060.5761"/>
        <s v="10.L1.3060.5762"/>
        <s v="10.L1.3060.5763"/>
        <s v="10.L1.3060.5791"/>
        <s v="10.L1.3060.5792"/>
        <s v="10.L1.3060.5793"/>
        <s v="10.L1.3060.68001"/>
        <s v="10.L1.3060.68003"/>
        <s v="10.L1.3060.68004"/>
        <s v="10.L1.3060.68005"/>
        <s v="10.L1.3060.68006"/>
        <s v="10.L1.3060.68007"/>
        <s v="10.L1.3060.68008"/>
        <s v="10.L1.3060.68009"/>
        <s v="10.L1.3060.68011"/>
        <s v="10.L1.3060.68012"/>
        <s v="10.L1.3060.68013"/>
        <s v="10.L1.3060.68014"/>
        <s v="10.L1.3060.68015"/>
        <s v="10.L1.3060.68016"/>
        <s v="10.L1.3060.68017"/>
        <s v="10.L1.3060.68018"/>
        <s v="10.L1.3060.68019"/>
        <s v="10.L1.3060.7801"/>
        <s v="10.L1.3060.7805"/>
        <s v="10.L1.3060.7806"/>
        <s v="10.L1.3060.7821"/>
        <s v="10.L1.3060.7822"/>
        <s v="10.L1.3060.7823"/>
        <s v="10.L1.3060.7831"/>
        <s v="10.L1.3060.7832"/>
        <s v="10.L1.3060.7833"/>
        <s v="10.L1.3060.7837"/>
        <s v="10.L1.3060.7838"/>
        <s v="10.L1.3060.7839"/>
        <s v="10.L1.4080.9951"/>
        <s v="10.L1.4080.9952"/>
        <s v="10.L1.4080.9953"/>
        <s v="10.L1.4080.9954"/>
        <s v="10.L1.4080.9955"/>
        <s v="10.L1.4080.9956"/>
        <s v="10.L1.4080.9957"/>
        <s v="10.L1.4080.9958"/>
        <s v="10.L1.4080.9959"/>
        <s v="10.L1.4080.9962"/>
        <s v="10.L1.4080.9963"/>
        <s v="10.L1.4080.9964"/>
        <s v="10.L1.4080.9965"/>
        <s v="10.L1.4080.9966"/>
        <s v="10.L1.4080.9967"/>
        <s v="10.L1.4080.9968"/>
        <s v="10.L1.4080.9969"/>
        <s v="10.L1.5050.5315"/>
        <s v="10.L1.5050.5316"/>
        <s v="10.L1.5050.5317"/>
        <s v="10.L1.5050.5318"/>
        <s v="10.L1.5050.5319"/>
        <s v="10.L1.5050.5321"/>
        <s v="10.L1.5050.A5315"/>
        <s v="10.L1.5050.A5316"/>
        <s v="10.L1.5050.A5317"/>
        <s v="10.L1.5050.A5318"/>
        <s v="10.L1.5050.A5319"/>
        <s v="10.L1.5050.A5321"/>
        <s v="10.L1.5050.A5322"/>
        <s v="10.L1.6060.5165"/>
        <s v="10.L1.6060.5167"/>
        <s v="10.L1.6060.5168"/>
        <s v="10.L1.6060.5169"/>
        <s v="10.L1.6060.5189"/>
        <s v="10.L1.6060.5191"/>
        <s v="10.L1.6060.5192"/>
        <s v="10.L1.6060.5193"/>
        <s v="10.L1.6060.5194"/>
        <s v="10.L1.6060.5195"/>
        <s v="10.L1.6060.5196"/>
        <s v="10.L1.6060.5613"/>
        <s v="10.L1.6060.5618"/>
        <s v="10.L1.6060.5680"/>
        <s v="10.L1.6060.5685"/>
        <s v="10.L1.6060.5686"/>
        <s v="10.L1.6060.5687"/>
        <s v="10.L1.6060.5688"/>
        <s v="10.L1.6060.5689"/>
        <s v="10.L1.6060.5690"/>
        <s v="10.L1.6060.5711"/>
        <s v="10.L1.6060.5712"/>
        <s v="10.L1.6060.5713"/>
        <s v="10.L1.6060.5714"/>
        <s v="10.L1.6060.5715"/>
        <s v="10.L1.6060.5716"/>
        <s v="10.L1.6060.5717"/>
        <s v="10.L1.6060.5718"/>
        <s v="10.L1.6060.5719"/>
        <s v="10.L1.6060.5721"/>
        <s v="10.L1.6060.5722"/>
        <s v="10.L1.6060.5723"/>
        <s v="10.L1.6060.5724"/>
        <s v="10.L1.6060.5725"/>
        <s v="10.L1.6060.5726"/>
        <s v="10.L1.6060.6103"/>
        <s v="10.L1.6060.6157"/>
        <s v="10.L1.6060.6158"/>
        <s v="10.L1.6060.6159"/>
        <s v="10.L1.6060.6161"/>
        <s v="10.L1.6060.6162"/>
        <s v="10.L1.6060.6163"/>
        <s v="10.L1.6060.74002"/>
        <s v="10.L1.6060.74003"/>
        <s v="10.L1.6060.74005"/>
        <s v="10.L1.6060.74006"/>
        <s v="10.L1.6060.74007"/>
        <s v="10.L1.6060.74008"/>
        <s v="10.L1.6060.75604"/>
        <s v="10.L1.6060.75605"/>
        <s v="10.L1.6060.75606"/>
        <s v="10.L1.8080.5874"/>
        <s v="10.L1.8080.5876"/>
        <s v="10.L1.8080.5877"/>
        <s v="10.L1.8080.5878"/>
        <s v="10.L1.8080.5879"/>
        <s v="10.L1.8080.5880"/>
        <s v="10.L1.8080.5887"/>
        <s v="10.L1.8080.5889"/>
        <s v="10.L1.8080.5891"/>
        <s v="10.L1.8080.5893"/>
        <s v="10.L1.8080.5894"/>
        <s v="10.L1.8080.5895"/>
        <s v="10.L1.8080.5896"/>
        <s v="10.L1.8080.5897"/>
        <s v="10.L1.8080.5898"/>
        <s v="10.L1.8080.5899"/>
        <s v="10.L1.8080.75004"/>
        <s v="10.L1.8080.75005"/>
        <s v="10.L1.8080.75006"/>
        <s v="10.L1.8080.9454"/>
        <s v="10.L1.8080.9455"/>
        <s v="12.L1.2040.2401"/>
        <s v="12.L1.2040.2402"/>
        <s v="12.L1.2040.2403"/>
        <s v="12.L1.2040.2404"/>
        <s v="12.L1.2040.2405"/>
        <s v="12.L1.2040.U2421"/>
        <s v="12.L1.2040.U2422"/>
        <s v="12.L1.2040.U2423"/>
        <s v="12.L1.2040.U2424"/>
        <s v="12.L1.2040.U2425"/>
        <s v="12.L1.2040.U2426"/>
        <s v="12.L1.2040.U2427"/>
        <s v="12.L1.2040.U2428"/>
        <s v="12.L1.2040.U2429"/>
        <s v="12.L1.2040.U2430"/>
        <s v="12.L1.2040.U2431"/>
        <s v="12.L1.2040.U2432"/>
        <s v="12.L1.2040.U2433"/>
        <s v="12.L1.2040.U2434"/>
        <s v="12.L1.2040.U2435"/>
        <s v="12.L1.2550.2501"/>
        <s v="12.L1.2550.2502"/>
        <s v="12.L1.2550.2503"/>
        <s v="12.L1.2550.2504"/>
        <s v="12.L1.2550.2505"/>
        <s v="12.L1.2550.A2518"/>
        <s v="12.L1.2550.A2519"/>
        <s v="12.L1.2550.A2520"/>
        <s v="12.L1.2550.A2521"/>
        <s v="12.L1.2550.A2528"/>
        <s v="12.L1.2550.A2530"/>
        <s v="12.L1.2550.A2532"/>
        <s v="12.L1.2550.A2536"/>
        <s v="12.L1.2550.A2537"/>
        <s v="12.L1.2550.A2539"/>
        <s v="12.L1.2550.U2518"/>
        <s v="12.L1.2550.U2519"/>
        <s v="12.L1.2550.U2520"/>
        <s v="12.L1.2550.U2521"/>
        <s v="12.L1.2550.U2526"/>
        <s v="12.L1.2550.U2527"/>
        <s v="12.L1.2550.U2528"/>
        <s v="12.L1.2550.U2530"/>
        <s v="12.L1.2550.U2531"/>
        <s v="12.L1.2550.U2532"/>
        <s v="12.L1.2550.U2533"/>
        <s v="12.L1.2550.U2534"/>
        <s v="12.L1.2550.U2535"/>
        <s v="12.L1.2550.U2536"/>
        <s v="12.L1.2550.U2537"/>
        <s v="12.L1.2550.U2538"/>
        <s v="12.L1.2550.U2539"/>
        <s v="12.L1.3030.3002"/>
        <s v="12.L1.3030.3005"/>
        <s v="12.L1.3030.3018"/>
        <s v="12.L1.3030.3019"/>
        <s v="12.L1.3030.3020"/>
        <s v="12.L1.3030.3021"/>
        <s v="12.L1.3030.3022"/>
        <s v="12.L1.3030.3023"/>
        <s v="12.L1.3030.3024"/>
        <s v="12.L1.3030.3026"/>
        <s v="14.L1.3030.33316"/>
        <s v="14.L1.3030.33318"/>
        <s v="14.L1.3030.33320"/>
        <s v="14.L1.3030.33408"/>
        <s v="14.L1.3030.33411"/>
        <s v="14.L1.3030.33418"/>
        <s v="14.L1.3060.A36320"/>
        <s v="14.L1.3060.A36320D"/>
        <s v="14.L1.3060.A36420"/>
        <s v="14.L1.3060.A36800"/>
        <s v="14.L1.3060.A36800D"/>
        <s v="14.L1.3060.A36800V"/>
        <s v="14.L1.3060.A36801"/>
        <s v="14.L1.3060.A36801D"/>
        <s v="14.L1.3060.A36801V"/>
        <s v="14.L1.3060.A36810"/>
        <s v="14.L1.3060.A36810D"/>
        <s v="14.L1.3060.A36822"/>
        <s v="14.L1.3060.A36822D"/>
        <s v="14.L1.3060.A36910"/>
        <s v="14.L1.3060.A36922"/>
        <s v="14.L1.3060.A36CB8006"/>
        <s v="14.L1.3060.A36CB8006D"/>
        <s v="14.L1.3060.A36CB8006V"/>
        <s v="14.L1.3060.A36CB8010"/>
        <s v="14.L1.3060.A36CB8010D"/>
        <s v="14.L1.3060.A36CB8010V"/>
        <s v="14.L1.3060.A36CW8005"/>
        <s v="14.L1.3060.A36CW8005D"/>
        <s v="14.L1.3060.A36CW8005V"/>
        <s v="14.L1.3060.A36CW8007"/>
        <s v="14.L1.3060.A36CW8007D"/>
        <s v="14.L1.3060.A36CW8007V"/>
        <s v="14.L1.3060.A36CW8008"/>
        <s v="14.L1.3060.A36CW8008D"/>
        <s v="14.L1.3060.A36CW8008V"/>
        <s v="14.L1.3060.A36CW8009"/>
        <s v="14.L1.3060.A36CW8009D"/>
        <s v="14.L1.3060.A36CW8009V"/>
        <s v="14.L1.3060.A36MA8017"/>
        <s v="14.L1.3060.A36MD9016"/>
        <s v="14.L1.3060.A36MD9016D"/>
        <s v="14.L1.3060.A36MG9012"/>
        <s v="14.L1.3060.A36MG9012D"/>
        <s v="14.L1.3060.A36ML8012"/>
        <s v="14.L1.3060.A36ML8016"/>
        <s v="14.L1.3060.A36MN9017"/>
        <s v="14.L1.3060.A36MN9017D"/>
        <s v="14.L1.3060.A36PG8015"/>
        <s v="14.L1.3060.A36PM9015"/>
        <s v="14.L1.3060.A36PM9015D"/>
        <s v="14.L1.3060.A36PW8000"/>
        <s v="14.L1.3060.A36PW8000D"/>
        <s v="14.L1.3060.A36PW8000V"/>
        <s v="14.L1.3060.A36SG404"/>
        <s v="14.L1.3060.A36SG404D"/>
        <s v="14.L1.3060.A36SG405"/>
        <s v="14.L1.3060.A36SW304"/>
        <s v="14.L1.3060.A36SW305"/>
        <s v="14.L1.3060.US36AG901"/>
        <s v="14.L1.3060.US36AG901D"/>
        <s v="14.L1.3060.US36AW801"/>
        <s v="14.L1.3060.US36CB806"/>
        <s v="14.L1.3060.US36CB902"/>
        <s v="14.L1.3060.US36CB902D"/>
        <s v="14.L1.3060.US36CG802"/>
        <s v="14.L1.3060.US36CG804"/>
        <s v="14.L1.3060.US36CN906"/>
        <s v="14.L1.3060.US36CN906D"/>
        <s v="14.L1.3060.US36CW807"/>
        <s v="14.L1.3060.US36LB907"/>
        <s v="14.L1.3060.US36LB907D"/>
        <s v="14.L1.3060.US36LG904"/>
        <s v="14.L1.3060.US36LG904D"/>
        <s v="14.L1.4080.48800"/>
        <s v="14.L1.4080.48807"/>
        <s v="14.L1.4080.48868"/>
        <s v="14.L1.4080.48907"/>
        <s v="14.L1.4080.48907D"/>
        <s v="14.L1.4080.48968D"/>
        <s v="14.L1.60120.61184061"/>
        <s v="14.L1.60120.61185064"/>
        <s v="14.L1.60120.61286012"/>
        <s v="14.L1.60120.M61LD902"/>
        <s v="14.L1.6060.66181004"/>
        <s v="14.L1.6060.66182031"/>
        <s v="14.L1.6060.66282018"/>
        <s v="14.L1.6060.66383026"/>
        <s v="14.L1.6060.A66CB8052"/>
        <s v="14.L1.6060.A66CG8051"/>
        <s v="14.L1.6060.A66DT8053"/>
        <s v="14.L1.6060.A66EB8058"/>
        <s v="14.L1.6060.A66EG8057"/>
        <s v="14.L1.6060.A66MD8061"/>
        <s v="14.L1.6060.A66MG8054"/>
        <s v="14.L1.6060.A66MW8056"/>
        <s v="14.L1.6060.A66OW8055"/>
        <s v="14.L1.6060.M66LD902"/>
        <s v="14.L1.80120.M81AG905"/>
        <s v="14.L1.80120.M81CB907"/>
        <s v="14.L1.80120.M81DT904"/>
        <s v="14.L1.80120.M81LD902"/>
        <s v="14.L1.80120.M81LG902"/>
        <s v="14.L1.80120.M81MW906"/>
        <s v="14.L1.80120.M81OW903"/>
        <s v="14.L1.8080.88181004"/>
        <s v="14.L1.8080.88282018"/>
        <s v="14.L1.8080.88283003"/>
        <s v="14.L1.8080.88284041"/>
        <s v="14.L1.8080.88285052"/>
        <s v="14.L1.8080.M88AG905"/>
        <s v="14.L1.8080.M88DT904"/>
        <s v="14.L1.8080.M88LD902"/>
        <s v="14.L1.8080.M88LG902"/>
        <s v="14.L1.8080.M88MW909"/>
        <s v="14.L1.8080.M88OW903"/>
        <s v="15.L1.3060.2911"/>
        <s v="15.L1.3060.2912"/>
        <s v="15.L1.3060.2913"/>
        <s v="15.L1.6060.6601"/>
        <s v="15.L1.6060.6602"/>
        <s v="15.L1.6060.6604"/>
        <s v="15.L1.6060.6605"/>
        <s v="15.L1.6060.6606"/>
        <s v="18.CG10.CR.C0000.00"/>
        <s v="20.L1.1580.91151"/>
        <s v="20.L1.1580.91152"/>
        <s v="20.L1.1580.91153"/>
        <s v="20.L1.1580.91154"/>
        <s v="20.L1.1580.91181"/>
        <s v="20.L1.1580.91182"/>
        <s v="20.L1.1580.91183"/>
        <s v="20.L1.1580.91184"/>
        <s v="20.L1.3030.U81101"/>
        <s v="20.L1.3030.U81102"/>
        <s v="20.L1.3030.U81103"/>
        <s v="20.L1.3030.U81104"/>
        <s v="20.L1.3030.U81105"/>
        <s v="20.L1.3030.U81106"/>
        <s v="20.L1.3030.U81107"/>
        <s v="20.L1.3030.U81108"/>
        <s v="20.L1.3030.U81109"/>
        <s v="20.L1.3030.U81110"/>
        <s v="20.L1.3030.U81111"/>
        <s v="20.L1.3030.U81112"/>
        <s v="20.L1.5050.35107"/>
        <s v="20.L1.5050.35108"/>
        <s v="20.L1.5050.35109"/>
        <s v="20.L1.5050.35205"/>
        <s v="20.L1.5050.35207"/>
        <s v="20.L1.5050.35208"/>
        <s v="20.L1.5050.35209"/>
        <s v="20.L1.5050.35210"/>
        <s v="20.L1.5050.35211"/>
        <s v="20.L1.5050.91501"/>
        <s v="20.L1.5050.91502"/>
        <s v="20.L1.5050.91503"/>
        <s v="20.L1.5050.91504"/>
        <s v="20.L1.5050.91505"/>
        <s v="20.L1.5050.91506"/>
        <s v="20.L1.5050.91507"/>
        <s v="20.L1.5050.91508"/>
        <s v="20.L1.6060.16001"/>
        <s v="20.L1.6060.16003"/>
        <s v="20.L1.6060.16004"/>
        <s v="20.L1.6060.16105"/>
        <s v="20.L1.6060.16114"/>
        <s v="20.L1.6060.16117"/>
        <s v="20.L1.6060.16405"/>
        <s v="20.L1.6060.16901"/>
        <s v="20.L1.6060.16902"/>
        <s v="20.L1.6060.16903"/>
        <s v="20.L1.6060.16904"/>
        <s v="20.L1.6060.16905"/>
        <s v="20.L1.6060.16906"/>
        <s v="20.L1.6060.26004"/>
        <s v="20.L1.6060.26006"/>
        <s v="20.L1.6060.26101"/>
        <s v="20.L1.6060.26103"/>
        <s v="20.L1.6060.26107"/>
        <s v="20.L1.6060.26112"/>
        <s v="20.L1.6060.26172"/>
        <s v="20.L1.6060.26901"/>
        <s v="20.L1.6060.26902"/>
        <s v="20.L1.6060.26903"/>
        <s v="20.L1.6060.26904"/>
        <s v="20.L1.6060.26905"/>
        <s v="20.L1.6060.36001"/>
        <s v="20.L1.6060.36002"/>
        <s v="20.L1.6060.36003"/>
        <s v="20.L1.6060.36004"/>
        <s v="20.L1.6060.36005"/>
        <s v="20.L1.6060.36006"/>
        <s v="20.L1.6060.36902"/>
        <s v="20.L1.6060.36903"/>
        <s v="20.L1.6060.36904"/>
        <s v="20.L1.6060.36905"/>
        <s v="20.L1.6060.36906"/>
        <s v="20.L1.6060.86301"/>
        <s v="20.L1.6060.A16904"/>
        <s v="20.L1.6060.A16910"/>
        <s v="20.L1.6060.A16911"/>
        <s v="20.L1.6060.A16912"/>
        <s v="20.L1.6060.A16913"/>
        <s v="20.L1.6060.A16914"/>
        <s v="20.L1.6060.A16915"/>
        <s v="20.L1.6060.A26904"/>
        <s v="20.L1.6060.A26913"/>
        <s v="20.L1.6060.A26914"/>
        <s v="20.L1.6060.A26915"/>
        <s v="20.L1.6060.A26916"/>
        <s v="20.L1.6060.A26917"/>
        <s v="20.L1.6060.A26918"/>
        <s v="20.L1.6060.A36915"/>
        <s v="20.L1.6060.A36918"/>
        <s v="20.L1.6060.A36920"/>
        <s v="20.L1.8080.18117"/>
        <s v="20.L1.8080.18125"/>
        <s v="20.L1.8080.18126"/>
        <s v="20.L1.8080.18127"/>
        <s v="20.L1.8080.18128"/>
        <s v="20.L1.8080.18129"/>
        <s v="20.L1.8080.18901"/>
        <s v="20.L1.8080.18902"/>
        <s v="20.L1.8080.18903"/>
        <s v="20.L1.8080.18904"/>
        <s v="20.L1.8080.18905"/>
        <s v="20.L1.8080.18906"/>
        <s v="20.L1.8080.18913"/>
        <s v="20.L1.8080.18914"/>
        <s v="20.L1.8080.28101"/>
        <s v="20.L1.8080.28107"/>
        <s v="20.L1.8080.28901"/>
        <s v="20.L1.8080.28902"/>
        <s v="20.L1.8080.28903"/>
        <s v="20.L1.8080.28904"/>
        <s v="20.L1.8080.28905"/>
        <s v="20.L1.8080.28906"/>
        <s v="20.L1.8080.28913"/>
        <s v="20.L1.8080.28914"/>
        <s v="20.L1.8080.28915"/>
        <s v="20.L1.8080.28916"/>
        <s v="20.L1.8080.28917"/>
        <s v="20.L1.8080.28918"/>
        <s v="20.L1.8080.38002"/>
        <s v="20.L1.8080.38003"/>
        <s v="20.L1.8080.38006"/>
        <s v="20.L1.8080.38901"/>
        <s v="20.L1.8080.38902"/>
        <s v="20.L1.8080.38904"/>
        <s v="20.L1.8080.38905"/>
        <s v="20.L1.8080.38907"/>
        <s v="20.L1.8080.38917"/>
        <s v="20.L1.8080.38918"/>
        <s v="20.L1.8080.38920"/>
        <s v="20.L1.8080.91851"/>
        <s v="20.L1.8080.91852"/>
        <s v="20.L1.8080.91853"/>
        <s v="20.L1.8080.91854"/>
        <s v="20.L1.8080.91855"/>
        <s v="20.L1.8080.91856"/>
        <s v="20.L1.8080.91857"/>
        <s v="20.L1.8080.91858"/>
        <s v="20.L1.8080.91859"/>
        <s v="20.L1.8080.91860"/>
        <s v="21.C100.DG.MPSET.00"/>
        <s v="21.C100.DG.UNISET.00"/>
        <s v="21.C1T0.DG.KBOND.00"/>
        <s v="21.CG1.CR.SF-CLASSIC.00"/>
        <s v="21.CT.AQUAFLEXR77.GREY18"/>
        <s v="21.CT.PLANISEAL288.25"/>
        <s v="21.PG.MAPELATEXVN.5"/>
        <s v="21.UTRA.LS.KERANET"/>
        <s v="22.C100.DG.TBOND.00"/>
        <s v="22.C100.DG.TPRO2.00"/>
        <s v="22.C100.DG.UNICHEMI.00"/>
        <s v="22.C100.DG.UNITILE.00"/>
        <s v="22.C200.DG.TBOND.00"/>
        <s v="22.CGIW.CR.JOINT.00"/>
        <s v="29.L1.1580.FP15801"/>
        <s v="29.L1.1580.FP15802"/>
        <s v="29.L1.1580.FP15803"/>
        <s v="29.L1.1580.FP15804"/>
        <s v="29.L1.1580.FP15805"/>
        <s v="29.L1.1580.FP15806"/>
        <s v="29.L1.1580.FP15807"/>
        <s v="29.L1.1580.FP15808"/>
        <s v="29.L1.3030.F305"/>
        <s v="29.L1.3030.F308"/>
        <s v="29.L1.3030.F315"/>
        <s v="29.L1.3030.F317"/>
        <s v="29.L1.3030.FK301"/>
        <s v="29.L1.3030.FK302"/>
        <s v="29.L1.3030.FK303"/>
        <s v="29.L1.3030.FK304"/>
        <s v="29.L1.3030.FK305"/>
        <s v="29.L1.3060.FC3604"/>
        <s v="29.L1.3060.FC3604D"/>
        <s v="29.L1.3060.FC3605"/>
        <s v="29.L1.3060.FC3606"/>
        <s v="29.L1.3060.FC3606D"/>
        <s v="29.L1.3060.FC3606V"/>
        <s v="29.L1.3060.FC3610"/>
        <s v="29.L1.3060.FC3610D"/>
        <s v="29.L1.3060.FC3610V"/>
        <s v="29.L1.3060.FC3618"/>
        <s v="29.L1.3060.FC3618D"/>
        <s v="29.L1.3060.FC3619"/>
        <s v="29.L1.3060.FC3622"/>
        <s v="29.L1.3060.FC3622D"/>
        <s v="29.L1.3060.FC3622V"/>
        <s v="29.L1.3060.FC3623"/>
        <s v="29.L1.3060.FC3623D"/>
        <s v="29.L1.3060.FC3623V"/>
        <s v="29.L1.3060.FC3624"/>
        <s v="29.L1.3060.FC3624D"/>
        <s v="29.L1.3060.FC3624V"/>
        <s v="29.L1.3060.FC3625"/>
        <s v="29.L1.3060.FC3625D"/>
        <s v="29.L1.3060.FC3625V"/>
        <s v="29.L1.3060.FC3626"/>
        <s v="29.L1.3060.FC3626D"/>
        <s v="29.L1.3060.FC3626V"/>
        <s v="29.L1.3060.FC3636"/>
        <s v="29.L1.3060.FC3636D"/>
        <s v="29.L1.3060.FC3637"/>
        <s v="29.L1.3060.FC3638"/>
        <s v="29.L1.3060.FC3638D"/>
        <s v="29.L1.3060.FC3639"/>
        <s v="29.L1.3060.FC3640"/>
        <s v="29.L1.3060.FC3640D"/>
        <s v="29.L1.3060.FC3641"/>
        <s v="29.L1.3060.FP3602"/>
        <s v="29.L1.3060.FP3602D"/>
        <s v="29.L1.3060.FP3603"/>
        <s v="29.L1.3060.FP3605"/>
        <s v="29.L1.3060.FP3605D"/>
        <s v="29.L1.3060.FP3607"/>
        <s v="29.L1.3060.FP3616"/>
        <s v="29.L1.3060.FP3616D"/>
        <s v="29.L1.3060.FP3617"/>
        <s v="29.L1.3060.FP3618"/>
        <s v="29.L1.3060.FP3618D"/>
        <s v="29.L1.3060.FP3619"/>
        <s v="29.L1.3060.FP936601"/>
        <s v="29.L1.3060.FP936601V"/>
        <s v="29.L1.3060.FP936602"/>
        <s v="29.L1.3060.FP936602D"/>
        <s v="29.L1.3060.FP936602V"/>
        <s v="29.L1.3060.FP936604"/>
        <s v="29.L1.3060.FP936604D"/>
        <s v="29.L1.3060.FP936605"/>
        <s v="29.L1.3060.FP936606"/>
        <s v="29.L1.3060.FP936606D"/>
        <s v="29.L1.3060.FP936607"/>
        <s v="29.L1.3060.FP936608"/>
        <s v="29.L1.3060.FP936608D"/>
        <s v="29.L1.3060.FP936608V"/>
        <s v="29.L1.3060.FP936609"/>
        <s v="29.L1.3060.FP936609D"/>
        <s v="29.L1.3060.FP936609V"/>
        <s v="29.L1.3060.FP936610"/>
        <s v="29.L1.3060.FP936610D"/>
        <s v="29.L1.3060.FP936611"/>
        <s v="29.L1.3060.FP936612"/>
        <s v="29.L1.3060.FP936612D"/>
        <s v="29.L1.3060.FP936613"/>
        <s v="29.L1.3060.FPH3621"/>
        <s v="29.L1.3060.FPH3621D"/>
        <s v="29.L1.3060.FPH3621V"/>
        <s v="29.L1.3060.FPH3623"/>
        <s v="29.L1.3060.FPH3623D"/>
        <s v="29.L1.3060.FPH3623V"/>
        <s v="29.L1.3060.FPH3624"/>
        <s v="29.L1.3060.FPH3624D"/>
        <s v="29.L1.3060.FPH3624V"/>
        <s v="29.L1.3060.FPH3625"/>
        <s v="29.L1.3060.FPH3625D"/>
        <s v="29.L1.3060.FPH3625V"/>
        <s v="29.L1.3060.FPH3626"/>
        <s v="29.L1.3060.FUSC3621"/>
        <s v="29.L1.3060.FUSC3621D"/>
        <s v="29.L1.3060.FUSC3622"/>
        <s v="29.L1.3060.FUSC3625"/>
        <s v="29.L1.3060.FUSC3625D"/>
        <s v="29.L1.3060.FUSC3626"/>
        <s v="29.L1.3060.FUSC3629"/>
        <s v="29.L1.3060.FUSC3629D"/>
        <s v="29.L1.3060.FUSC3630"/>
        <s v="29.L1.3060.FUSC3631"/>
        <s v="29.L1.3060.FUSC3631D"/>
        <s v="29.L1.3060.FUSC3632"/>
        <s v="29.L1.3060.FUSC3637"/>
        <s v="29.L1.3060.FUSC3637D"/>
        <s v="29.L1.3060.FUSC3638"/>
        <s v="29.L1.3060.FUSC3639"/>
        <s v="29.L1.3060.FUSC3640"/>
        <s v="29.L1.4060.FX46202"/>
        <s v="29.L1.4060.FXK46250"/>
        <s v="29.L1.4060.FXK46251"/>
        <s v="29.L1.4060.FXK46254"/>
        <s v="29.L1.4060.FXK46255"/>
        <s v="29.L1.4060.FXK46256"/>
        <s v="29.L1.4060.FXK46258"/>
        <s v="29.L1.4060.FXU46001"/>
        <s v="29.L1.4060.FXU46002"/>
        <s v="29.L1.4060.FXU46003"/>
        <s v="29.L1.4080.FC4801"/>
        <s v="29.L1.4080.FC4801D"/>
        <s v="29.L1.4080.FC4801V"/>
        <s v="29.L1.4080.FC4802"/>
        <s v="29.L1.4080.FC4802D"/>
        <s v="29.L1.4080.FC4802V"/>
        <s v="29.L1.4080.FC4803"/>
        <s v="29.L1.4080.FC4803D"/>
        <s v="29.L1.4080.FC4803V"/>
        <s v="29.L1.4080.FC4804"/>
        <s v="29.L1.4080.FC4804D"/>
        <s v="29.L1.4080.FC4804V"/>
        <s v="29.L1.4080.FC4805"/>
        <s v="29.L1.4080.FC4805D"/>
        <s v="29.L1.4080.FC4805V"/>
        <s v="29.L1.4080.FC4806"/>
        <s v="29.L1.4080.FC4806D"/>
        <s v="29.L1.4080.FC4806V"/>
        <s v="29.L1.4080.FC4808"/>
        <s v="29.L1.4080.FC4808D"/>
        <s v="29.L1.4080.FC4808V"/>
        <s v="29.L1.4080.FC4809"/>
        <s v="29.L1.4080.FC4809D"/>
        <s v="29.L1.4080.FC4809V"/>
        <s v="29.L1.4080.FP948601"/>
        <s v="29.L1.4080.FP948601D"/>
        <s v="29.L1.4080.FP948601V"/>
        <s v="29.L1.4080.FP948602"/>
        <s v="29.L1.4080.FP948602D"/>
        <s v="29.L1.4080.FP948602V"/>
        <s v="29.L1.4080.FP948603"/>
        <s v="29.L1.4080.FP948603V"/>
        <s v="29.L1.4080.FP948604"/>
        <s v="29.L1.4080.FP948604D"/>
        <s v="29.L1.5050.FC5001"/>
        <s v="29.L1.5050.FC5006"/>
        <s v="29.L1.5050.FCU5507"/>
        <s v="29.L1.5050.FCU5521"/>
        <s v="29.L1.5050.FCU5524"/>
        <s v="29.L1.6060.FP6602"/>
        <s v="29.L1.6060.FP6603"/>
        <s v="29.L1.6060.FP6604"/>
        <s v="29.L1.6060.FP6605"/>
        <s v="29.L1.6060.FP96600"/>
        <s v="29.L1.6060.FP96604"/>
        <s v="29.L1.6060.FP96606"/>
        <s v="29.L1.6060.FP96666"/>
        <s v="29.L1.6060.FPH6001"/>
        <s v="29.L1.6060.FPU6000"/>
        <s v="29.L1.6060.FPU6001"/>
        <s v="29.L1.6060.FPU6002"/>
        <s v="29.L1.6060.FPU6003"/>
        <s v="29.L1.6060.FPU6005"/>
        <s v="29.L1.6060.FPU6006"/>
        <s v="29.L1.6060.FPU6007"/>
        <s v="29.L1.6060.FPU6009"/>
        <s v="29.L1.6060.FPU6010"/>
        <s v="29.L1.6060.FPU6011"/>
        <s v="29.L1.6060.FPU6012"/>
        <s v="29.L1.6060.FPU6013"/>
        <s v="29.L1.6060.FPU6014"/>
        <s v="29.L1.6060.FPU6016"/>
        <s v="29.L1.6060.FPU6017"/>
        <s v="29.L1.6060.FPU6018"/>
        <s v="29.L1.6060.FPU966003"/>
        <s v="29.L1.6060.FPU966009"/>
        <s v="29.L1.8080.FP18601"/>
        <s v="29.L1.8080.FP18607"/>
        <s v="29.L1.8080.FP18666"/>
        <s v="29.L1.8080.FPU188005"/>
        <s v="29.L1.8080.FPU188013"/>
        <s v="29.L1.8080.FPU188017"/>
        <s v="29.L1.8080.FPU188033"/>
        <s v="29.L1.8080.FPU8000"/>
        <s v="29.L1.8080.FPU8001"/>
        <s v="29.L1.8080.FPU8002"/>
        <s v="29.L1.8080.FPU8003"/>
        <s v="29.L1.8080.FPU8005"/>
        <s v="29.L1.8080.FPU8006"/>
        <s v="29.L1.8080.FPU8007"/>
        <s v="29.L1.8080.FPU8011"/>
        <s v="29.L1.8080.FPU8013"/>
        <s v="29.L1.8080.FPU8014"/>
        <s v="29.L1.8080.FPU8016"/>
        <s v="29.L1.8080.FPU8017"/>
        <s v="29.L1.8080.FPU8888"/>
        <s v="31.L1.LEO-100100-001"/>
        <s v="31.L1.LEO-100100-002"/>
        <s v="31.L1.LEO-100100-003"/>
        <s v="31.L1.LEO-100100-004"/>
        <s v="31.L1.LEO-100100-005"/>
        <s v="31.L1.LEO-100100-006"/>
        <s v="31.L1.LEO-100100-007"/>
        <s v="31.L1.LEO-100100-008"/>
        <s v="31.L1.LEO-100100-009"/>
        <s v="31.L1.LEO-100100-010"/>
        <s v="31.L1.LEO-100100-011"/>
        <s v="31.L1.LEO-100100-012"/>
        <s v="32.L1.ACC-080160-001"/>
        <s v="32.L1.ACC-080160-002"/>
        <s v="32.L1.ACC-080160-003"/>
        <s v="32.L1.ACC-080160-004"/>
        <s v="32.L1.ACC-120120-001"/>
        <s v="32.L1.ACC-120120-002"/>
        <s v="32.L1.ACC-120120-003"/>
        <s v="32.L1.ACC-120120-004"/>
        <s v="32.L1.ACC-120120-005"/>
        <s v="32.L1.ACC-120120-006"/>
        <s v="32.L1.ACC-120120-007"/>
        <s v="32.L1.ACC-120120-008"/>
        <s v="32.L1.ACC-120120-009"/>
        <s v="32.L1.ACC-120120-010"/>
        <s v="33.L1.ICO-020120-11002"/>
        <s v="33.L1.ICO-020120-11005"/>
        <s v="33.L1.ICO-020120-13001"/>
        <s v="33.L1.ICO-020120-13003"/>
        <s v="33.L1.ICO-020120-13004"/>
        <s v="33.L1.ICO-060120-001"/>
        <s v="33.L1.ICO-060120-002"/>
        <s v="33.L1.ICO-060120-003"/>
        <s v="33.L1.ICO-060120-004"/>
        <s v="33.L1.ICO-060120-005"/>
        <s v="33.L1.ICO-060120-006"/>
        <s v="33.L1.ICO-060120-007"/>
        <s v="33.L1.ICO-060120-008"/>
        <s v="33.L1.ICO-060120-009"/>
        <s v="33.L1.ICO-080160-001"/>
        <s v="33.L1.ICO-080160-002"/>
        <s v="33.L1.ICO-080160-003"/>
        <s v="33.L1.ICO-080160-004"/>
        <s v="33.L1.ICO-080160-005"/>
        <s v="34.L1.ITA-060120-001"/>
        <s v="34.L1.ITA-060120-002"/>
        <s v="34.L1.ITA-060120-003"/>
        <s v="34.L1.ITA-060120-004"/>
        <s v="34.L1.ITA-060120-005"/>
        <s v="34.L1.ITA-060120-006"/>
        <s v="34.L1.ITA-060120-007"/>
        <s v="34.L1.ITA-060120-008"/>
        <s v="35.C100.DG.B16.00"/>
        <s v="35.C1T0.DG.B18.00"/>
        <s v="35.CG10.CR.B31.00"/>
        <s v="36.L1.3060.USC3601"/>
        <s v="36.L1.3060.USC3601D"/>
        <s v="36.L1.3060.USC3601V"/>
        <s v="36.L1.3060.USC3602"/>
        <s v="36.L1.3060.USC3602D"/>
        <s v="36.L1.3060.USC3602V"/>
        <s v="36.L1.3060.USC3603"/>
        <s v="36.L1.3060.USC3603D"/>
        <s v="36.L1.3060.USC3603V"/>
        <s v="36.L1.3060.USC3604"/>
        <s v="36.L1.3060.USC3604D"/>
        <s v="36.L1.3060.USC3604V"/>
        <s v="36.L1.3060.USC3621"/>
        <s v="36.L1.3060.USC3621D"/>
        <s v="36.L1.3060.USC3622"/>
        <s v="36.L1.3060.USC3623"/>
        <s v="36.L1.3060.USC3623D"/>
        <s v="36.L1.3060.USC3624"/>
        <s v="36.L1.3060.USC3625"/>
        <s v="36.L1.3060.USC3625D"/>
        <s v="36.L1.3060.USC3626"/>
        <s v="36.L1.3060.USC3627"/>
        <s v="36.L1.3060.USC3627D"/>
        <s v="36.L1.3060.USC3628"/>
        <s v="36.L1.3060.USC3629"/>
        <s v="36.L1.3060.USC3629D"/>
        <s v="36.L1.3060.USC3630"/>
        <s v="36.L1.3060.USC3631"/>
        <s v="36.L1.3060.USC3631D"/>
        <s v="36.L1.3060.USC3632"/>
        <s v="36.L1.3060.USC3633"/>
        <s v="36.L1.3060.USC3633D"/>
        <s v="36.L1.3060.USC3634"/>
        <s v="36.L1.3060.USC3635"/>
        <s v="36.L1.3060.USC3635D"/>
        <s v="36.L1.3060.USC3636"/>
        <s v="36.L1.3060.USC3637"/>
        <s v="36.L1.3060.USC3637D"/>
        <s v="36.L1.3060.USC3638"/>
        <s v="36.L1.3060.USC3639"/>
        <s v="36.L1.3060.USC3639D"/>
        <s v="36.L1.3060.USC3640"/>
        <s v="36.L1.3060.USC3641"/>
        <s v="36.L1.3060.USC3641D"/>
        <s v="36.L1.3060.USC3642"/>
        <s v="36.L1.3060.USC3645"/>
        <s v="36.L1.3060.USC3645D"/>
        <s v="36.L1.3060.USC3646"/>
        <s v="36.L1.3060.USC3647"/>
        <s v="36.L1.3060.USC3647D"/>
        <s v="36.L1.3060.USC3648"/>
        <s v="36.L1.3060.USC3649"/>
        <s v="36.L1.3060.USC3649D"/>
        <s v="36.L1.3060.USC3650"/>
        <s v="36.L1.3060.USC3651"/>
        <s v="36.L1.3060.USC3651D"/>
        <s v="36.L1.3060.USC3652"/>
        <s v="37.C100.DG.VINASTAR.00"/>
        <s v="37.C1T0.DG.VNS-PLUS.00"/>
        <s v="37.CG2A.CR.VINASTAR.00"/>
        <s v="38.L1.3060.ICC3600"/>
        <s v="38.L1.3060.ICC3600D"/>
        <s v="38.L1.3060.ICC3600V"/>
        <s v="38.L1.3060.ICC3601"/>
        <s v="38.L1.3060.ICC3601V"/>
        <s v="38.L1.3060.ICC3602"/>
        <s v="38.L1.3060.ICC3602D"/>
        <s v="38.L1.3060.ICC3602V"/>
        <s v="38.L1.3060.ICC3603"/>
        <s v="38.L1.3060.ICC3603D"/>
        <s v="38.L1.3060.ICC3604"/>
        <s v="38.L1.3060.ICC3605"/>
        <s v="38.L1.3060.ICC3605D"/>
        <s v="38.L1.3060.ICC3606"/>
        <s v="38.L1.3060.ICC3607"/>
        <s v="38.L1.3060.ICC3607D"/>
        <s v="38.L1.3060.ICC3608"/>
        <s v="38.L1.3060.KAI3600"/>
        <s v="38.L1.3060.KAI3600V"/>
        <s v="38.L1.3060.KAI3601"/>
        <s v="38.L1.3060.KAI3601AV"/>
        <s v="38.L1.3060.KAI3601BD"/>
        <s v="38.L1.3060.KAI3601BV"/>
        <s v="38.L1.3060.KAI3603"/>
        <s v="38.L1.3060.KAI3603D"/>
        <s v="38.L1.3060.KAI3604"/>
        <s v="38.L1.3060.KAI3605"/>
        <s v="38.L1.3060.KAI3605D"/>
        <s v="38.L1.3060.KAI3606"/>
        <s v="38.L1.3060.UGC3600AD"/>
        <s v="38.L1.3060.UGC3602BV"/>
        <s v="38.L1.5050.SVICC501"/>
        <s v="38.L1.5050.SVICC502"/>
        <s v="38.L1.5050.SVICC504"/>
        <s v="38.L1.5050.SVICC505"/>
        <s v="38.L1.5050.SVICC506"/>
        <s v="38.L1.5050.SVICC507"/>
        <s v="38.L1.5050.SVICC508"/>
        <s v="38.L1.5050.SVICC509"/>
        <s v="38.L1.5050.SVKAI501"/>
        <s v="38.L1.5050.SVKAI503"/>
        <s v="38.L1.5050.SVKAI506"/>
        <s v="38.L1.5050.SVKAI507"/>
        <s v="38.L1.5050.SVUSC505"/>
        <s v="38.L1.5050.SVUSC507"/>
        <s v="39.L1.3060.USGM3601"/>
        <s v="39.L1.3060.USGM3602"/>
        <s v="39.L1.3060.USGM3603"/>
        <s v="39.L1.3060.USGM3604"/>
        <s v="39.L1.3060.USGM3605"/>
        <s v="39.L1.3060.USGM3606"/>
        <s v="39.L1.3060.USGM3607"/>
        <s v="39.L1.3060.USGM3608"/>
        <s v="39.L1.3060.USGM3609"/>
        <s v="39.L1.3060.USGM3610"/>
        <s v="39.L1.3060.USGM3611"/>
        <s v="39.L1.3060.USGM3612"/>
        <s v="39.L1.3060.USGM3613"/>
        <s v="39.L1.3060.USGM3614"/>
        <s v="39.L1.3060.USGM3615"/>
        <s v="39.L1.3060.USGM3616"/>
        <s v="39.L1.3060.USGM3617"/>
        <s v="39.L1.3060.USGM3618"/>
        <s v="39.L1.3060.USGM3619"/>
        <s v="39.L1.3060.USGM3620"/>
        <s v="39.L1.4080.USG48012"/>
        <s v="39.L1.4080.USG48013"/>
        <s v="39.L1.4080.USG48014"/>
        <s v="39.L1.4080.USG48017"/>
        <s v="39.L1.6060.UGG6001"/>
        <s v="39.L1.6060.UGG6003"/>
        <s v="39.L1.6060.UGG6004"/>
        <s v="39.L1.6060.UGG6006"/>
        <s v="39.L1.6060.UGG6007"/>
        <s v="39.L1.6060.UGG6010"/>
        <s v="39.L1.6060.USGM6001"/>
        <s v="39.L1.6060.USGM6002"/>
        <s v="39.L1.6060.USGM6003"/>
        <s v="39.L1.6060.USGM6004"/>
        <s v="39.L1.6060.USGM6005"/>
        <s v="39.L1.6060.USGM6006"/>
        <s v="39.L1.6060.USGM6007"/>
        <s v="39.L1.6060.USGM6008"/>
        <s v="40.L1.3060.UGC3600"/>
        <s v="40.L1.3060.UGC3600AD"/>
        <s v="40.L1.3060.UGC3600AV"/>
        <s v="40.L1.3060.UGC3600BD"/>
        <s v="40.L1.3060.UGC3600BV"/>
        <s v="40.L1.3060.UGC3602"/>
        <s v="40.L1.3060.UGC3602AD"/>
        <s v="40.L1.3060.UGC3602AV"/>
        <s v="40.L1.3060.UGC3602BD"/>
        <s v="40.L1.3060.UGC3602BV"/>
        <s v="40.L1.3060.USC3601"/>
        <s v="40.L1.3060.USC3601D"/>
        <s v="40.L1.3060.USC3601V"/>
        <s v="40.L1.3060.USC3602"/>
        <s v="40.L1.3060.USC3602D"/>
        <s v="40.L1.3060.USC3602V"/>
        <s v="40.L1.3060.USC3603"/>
        <s v="40.L1.3060.USC3603D"/>
        <s v="40.L1.3060.USC3603V"/>
        <s v="40.L1.3060.USC3604"/>
        <s v="40.L1.3060.USC3604V"/>
        <s v="41.L1.3060.M3101"/>
        <s v="41.L1.3060.M3102"/>
        <s v="41.L1.3060.M3103"/>
        <s v="41.L1.3060.M3104"/>
        <s v="41.L1.3060.M3201"/>
        <s v="41.L1.3060.M3203"/>
        <s v="41.L1.3060.U3101"/>
        <s v="41.L1.3060.U3102"/>
        <s v="41.L1.3060.U3103"/>
        <s v="41.L1.3060.U3104"/>
        <s v="41.L1.3060.U3107"/>
        <s v="41.L1.3060.U3108"/>
        <s v="41.L1.3060.U3201"/>
        <s v="41.L1.3060.U3203"/>
        <s v="41.L1.4080.M4102"/>
        <s v="41.L1.4080.M4103"/>
        <s v="41.L1.4080.M4104"/>
        <s v="41.L1.4080.U4102"/>
        <s v="41.L1.5050.M5102"/>
        <s v="41.L1.5050.M5103"/>
        <s v="41.L1.5050.M5104"/>
        <s v="41.L1.5050.M5105"/>
        <s v="41.L1.5050.M5151"/>
        <s v="41.L1.5050.M5152"/>
        <s v="41.L1.5050.M5153"/>
        <s v="41.L1.5050.M5154"/>
        <s v="41.L1.5050.M5155"/>
        <s v="41.L1.5050.M5190"/>
        <s v="41.L1.5050.M5191"/>
        <s v="41.L1.5050.M5192"/>
        <s v="41.L1.5050.M5193"/>
        <s v="41.L1.5050.S5101"/>
        <s v="41.L1.5050.S5102"/>
        <s v="41.L1.5050.S5103"/>
        <s v="41.L1.5050.S5104"/>
        <s v="41.L1.5050.U5101"/>
        <s v="41.L1.5050.U5102"/>
        <s v="41.L1.5050.U5103"/>
        <s v="41.L1.5050.U5104"/>
        <s v="41.L1.5050.U5151"/>
        <s v="41.L1.5050.U5152"/>
        <s v="41.L1.5050.U5153"/>
        <s v="41.L1.5050.U5154"/>
        <s v="41.L1.5050.U5155"/>
        <s v="41.L1.6060.M6101"/>
        <s v="41.L1.6060.M6102"/>
        <s v="41.L1.6060.M6103"/>
        <s v="41.L1.6060.M6105"/>
        <s v="41.L1.6060.M6106"/>
        <s v="41.L1.6060.M6151"/>
        <s v="41.L1.6060.M6152"/>
        <s v="41.L1.6060.M6153"/>
        <s v="41.L1.6060.M6154"/>
        <s v="41.L1.6060.M6155"/>
        <s v="41.L1.6060.S6101"/>
        <s v="41.L1.6060.S6102"/>
        <s v="41.L1.6060.S6103"/>
        <s v="41.L1.6060.S6151"/>
        <s v="41.L1.6060.S6152"/>
        <s v="41.L1.6060.S6153"/>
        <s v="41.L1.6060.U6101"/>
        <s v="41.L1.6060.U6102"/>
        <s v="41.L1.6060.U6103"/>
        <s v="41.L1.6060.U6104"/>
        <s v="41.L1.6060.U6105"/>
        <s v="41.L1.6060.U6151"/>
        <s v="41.L1.6060.U6152"/>
        <s v="41.L1.6060.U6153"/>
        <s v="41.L1.6060.U6154"/>
        <s v="41.L1.6060.U6155"/>
        <s v="43.HC.ALSN3.TRONG"/>
        <s v="43.HC.ALSN5.TRANG"/>
      </sharedItems>
    </cacheField>
    <cacheField name="Tổng Sản Lượng" numFmtId="0">
      <sharedItems containsSemiMixedTypes="0" containsString="0" containsNumber="1">
        <n v="240.0"/>
        <n v="424.0"/>
        <n v="3520.0"/>
        <n v="160.0"/>
        <n v="1143.0"/>
        <n v="36.0"/>
        <n v="114.0"/>
        <n v="684.0"/>
        <n v="83.0"/>
        <n v="995.0"/>
        <n v="79.0"/>
        <n v="1714.0"/>
        <n v="3322.0"/>
        <n v="35.0"/>
        <n v="1039.0"/>
        <n v="354.0"/>
        <n v="1600.0"/>
        <n v="640.0"/>
        <n v="2080.0"/>
        <n v="320.0"/>
        <n v="420.0"/>
        <n v="537.0"/>
        <n v="960.0"/>
        <n v="21600.0"/>
        <n v="1440.0"/>
        <n v="2400.0"/>
        <n v="4264.0"/>
        <n v="720.0"/>
        <n v="1408.0"/>
        <n v="6072.0"/>
        <n v="1472.0"/>
        <n v="2744.0"/>
        <n v="1272.0"/>
        <n v="1836.0"/>
        <n v="3492.0"/>
        <n v="2368.0"/>
        <n v="2880.0"/>
        <n v="880.0"/>
        <n v="3776.0"/>
        <n v="288.0"/>
        <n v="3040.0"/>
        <n v="504.0"/>
        <n v="1608.0"/>
        <n v="512.0"/>
        <n v="2064.0"/>
        <n v="80.0"/>
        <n v="16.0"/>
        <n v="345.0"/>
        <n v="306.0"/>
        <n v="129.0"/>
        <n v="96.0"/>
        <n v="1182.0"/>
        <n v="126.0"/>
        <n v="9.0"/>
        <n v="92.0"/>
        <n v="10.0"/>
        <n v="34.0"/>
        <n v="600.0"/>
        <n v="56.0"/>
        <n v="360.0"/>
        <n v="4640.0"/>
        <n v="1948.0"/>
        <n v="5328.0"/>
        <n v="4800.0"/>
        <n v="1004.0"/>
        <n v="5376.0"/>
        <n v="2304.0"/>
        <n v="3456.0"/>
        <n v="768.0"/>
        <n v="216.0"/>
        <n v="3.0"/>
        <n v="1500.0"/>
        <n v="125.0"/>
        <n v="60.0"/>
        <n v="140.0"/>
        <n v="18.0"/>
        <n v="1000.0"/>
        <n v="121.0"/>
        <n v="19.0"/>
        <n v="101.0"/>
        <n v="848.0"/>
        <n v="8.0"/>
        <n v="308.0"/>
        <n v="291.0"/>
        <n v="153.0"/>
        <n v="352.0"/>
        <n v="1536.0"/>
        <n v="496.0"/>
        <n v="107.0"/>
        <n v="4224.0"/>
        <n v="6144.0"/>
        <n v="471.0"/>
        <n v="984.0"/>
        <n v="786.0"/>
        <n v="1115.0"/>
        <n v="1744.0"/>
        <n v="4760.0"/>
        <n v="3992.0"/>
        <n v="976.0"/>
        <n v="1752.0"/>
        <n v="11928.0"/>
        <n v="8152.0"/>
        <n v="4744.0"/>
        <n v="2720.0"/>
        <n v="944.0"/>
        <n v="4816.0"/>
        <n v="1152.0"/>
        <n v="584.0"/>
        <n v="624.0"/>
        <n v="4004.0"/>
        <n v="2212.0"/>
        <n v="272.0"/>
        <n v="428.0"/>
        <n v="1280.0"/>
        <n v="248.0"/>
        <n v="852.0"/>
        <n v="2574.0"/>
        <n v="1233.0"/>
        <n v="339.0"/>
        <n v="267.0"/>
        <n v="162.0"/>
        <n v="753.0"/>
        <n v="344.0"/>
        <n v="336.0"/>
        <n v="480.0"/>
        <n v="200.0"/>
        <n v="4240.0"/>
        <n v="232.0"/>
        <n v="1560.0"/>
        <n v="688.0"/>
        <n v="3080.0"/>
        <n v="2160.0"/>
        <n v="2600.0"/>
        <n v="776.0"/>
        <n v="3888.0"/>
        <n v="968.0"/>
        <n v="2664.0"/>
        <n v="32.0"/>
        <n v="2432.0"/>
        <n v="488.0"/>
        <n v="3552.0"/>
        <n v="23.0"/>
        <n v="2856.0"/>
        <n v="1952.0"/>
        <n v="1464.0"/>
        <n v="576.0"/>
        <n v="1176.0"/>
        <n v="680.0"/>
        <n v="220.0"/>
        <n v="456.0"/>
        <n v="312.0"/>
        <n v="276.0"/>
        <n v="392.0"/>
        <n v="213.0"/>
        <n v="1950.0"/>
        <n v="372.0"/>
        <n v="192.0"/>
        <n v="102.0"/>
        <n v="159.0"/>
        <n v="2320.0"/>
        <n v="40.0"/>
        <n v="3440.0"/>
        <n v="48.0"/>
        <n v="1016.0"/>
        <n v="3464.0"/>
        <n v="1072.0"/>
        <n v="2480.0"/>
        <n v="1256.0"/>
        <n v="952.0"/>
        <n v="1040.0"/>
        <n v="152.0"/>
        <n v="2888.0"/>
        <n v="528.0"/>
        <n v="144.0"/>
        <n v="744.0"/>
        <n v="954.0"/>
        <n v="2192.0"/>
        <n v="2688.0"/>
        <n v="4372.0"/>
        <n v="6260.0"/>
        <n v="2448.0"/>
        <n v="1116.0"/>
        <n v="552.0"/>
        <n v="448.0"/>
        <n v="2104.0"/>
        <n v="2864.0"/>
        <n v="1292.0"/>
        <n v="53.0"/>
        <n v="709.0"/>
        <n v="361.0"/>
        <n v="487.0"/>
        <n v="132.0"/>
        <n v="908.0"/>
        <n v="12.0"/>
        <n v="123.0"/>
        <n v="226.0"/>
        <n v="2124.0"/>
        <n v="1732.0"/>
        <n v="21996.0"/>
        <n v="2392.0"/>
        <n v="13720.0"/>
        <n v="1544.0"/>
        <n v="6641.0"/>
        <n v="13533.0"/>
        <n v="6614.0"/>
        <n v="8731.0"/>
        <n v="3382.0"/>
        <n v="6.0"/>
        <n v="24.0"/>
        <n v="155.0"/>
        <n v="141.0"/>
        <n v="546.0"/>
        <n v="1177.0"/>
        <n v="635.0"/>
        <n v="587.0"/>
        <n v="1252.0"/>
        <n v="1080.0"/>
        <n v="687.0"/>
        <n v="1294.0"/>
        <n v="911.0"/>
        <n v="7416.0"/>
        <n v="400.0"/>
        <n v="1920.0"/>
        <n v="7680.0"/>
        <n v="3200.0"/>
        <n v="14856.0"/>
        <n v="2312.0"/>
        <n v="25.0"/>
        <n v="1385.0"/>
        <n v="450.0"/>
        <n v="800.0"/>
        <n v="653.0"/>
        <n v="274.0"/>
        <n v="951.0"/>
        <n v="1293800.0"/>
        <n v="1258225.05"/>
        <n v="483800.0"/>
        <n v="322325.0"/>
        <n v="280875.0"/>
        <n v="267525.0"/>
        <n v="218475.0"/>
        <n v="168784.0"/>
        <n v="151078.0"/>
        <n v="131359.0"/>
        <n v="117405.0"/>
        <n v="109380.0"/>
        <n v="86483.0"/>
        <n v="86281.0"/>
        <n v="82298.0"/>
        <n v="68476.0"/>
        <n v="64706.0"/>
        <n v="63815.0"/>
        <n v="62200.0"/>
        <n v="61496.0"/>
        <n v="60819.0"/>
        <n v="58221.0"/>
        <n v="57570.0"/>
        <n v="56318.0"/>
        <n v="54995.0"/>
        <n v="53944.0"/>
        <n v="53015.0"/>
        <n v="52880.0"/>
        <n v="49776.0"/>
        <n v="48486.0"/>
        <n v="48472.0"/>
        <n v="47374.0"/>
        <n v="45376.0"/>
        <n v="43692.0"/>
        <n v="43303.0"/>
        <n v="42790.0"/>
        <n v="42158.0"/>
        <n v="41447.0"/>
        <n v="41325.0"/>
        <n v="40727.0"/>
        <n v="40444.0"/>
        <n v="39353.0"/>
        <n v="39209.0"/>
        <n v="38800.0"/>
        <n v="38569.0"/>
        <n v="38248.0"/>
        <n v="38214.0"/>
        <n v="38074.0"/>
        <n v="37506.0"/>
        <n v="37372.0"/>
        <n v="36950.0"/>
        <n v="36325.0"/>
        <n v="35674.0"/>
        <n v="35157.0"/>
        <n v="33802.0"/>
        <n v="33406.0"/>
        <n v="32611.0"/>
        <n v="32040.0"/>
        <n v="31094.0"/>
        <n v="30517.0"/>
        <n v="30105.0"/>
        <n v="29439.0"/>
        <n v="28312.0"/>
        <n v="27896.0"/>
        <n v="27771.0"/>
        <n v="27556.0"/>
        <n v="27549.0"/>
        <n v="27142.0"/>
        <n v="27091.0"/>
        <n v="26869.0"/>
        <n v="26672.0"/>
        <n v="25780.0"/>
        <n v="25518.0"/>
        <n v="25488.0"/>
        <n v="25442.0"/>
        <n v="25158.0"/>
        <n v="25067.0"/>
        <n v="24801.0"/>
        <n v="24772.0"/>
        <n v="24673.0"/>
        <n v="24442.0"/>
        <n v="24392.0"/>
        <n v="24336.0"/>
        <n v="24310.0"/>
        <n v="23503.0"/>
        <n v="23232.0"/>
        <n v="23148.0"/>
        <n v="23139.0"/>
        <n v="22979.0"/>
        <n v="22948.0"/>
        <n v="22880.0"/>
        <n v="22797.0"/>
        <n v="22321.0"/>
        <n v="21901.0"/>
        <n v="21504.0"/>
        <n v="21126.0"/>
        <n v="20839.0"/>
        <n v="20533.0"/>
        <n v="20352.0"/>
        <n v="20292.0"/>
        <n v="19960.0"/>
        <n v="19698.0"/>
        <n v="19344.0"/>
        <n v="19251.0"/>
        <n v="19078.0"/>
        <n v="18750.0"/>
        <n v="18731.0"/>
        <n v="18651.0"/>
        <n v="18112.0"/>
        <n v="17900.0"/>
        <n v="17883.0"/>
        <n v="17814.0"/>
        <n v="17647.0"/>
        <n v="17514.0"/>
        <n v="17469.0"/>
        <n v="17429.0"/>
        <n v="17394.0"/>
        <n v="17366.0"/>
        <n v="17345.0"/>
        <n v="17113.0"/>
        <n v="17038.0"/>
        <n v="16984.0"/>
        <n v="16712.0"/>
        <n v="16658.0"/>
        <n v="16587.0"/>
        <n v="16547.0"/>
        <n v="16298.0"/>
        <n v="16269.0"/>
        <n v="16261.0"/>
        <n v="16197.0"/>
        <n v="16178.0"/>
        <n v="16132.0"/>
        <n v="16011.0"/>
        <n v="15866.0"/>
        <n v="15780.0"/>
        <n v="15724.0"/>
        <n v="15552.0"/>
        <n v="15465.0"/>
        <n v="15432.0"/>
        <n v="15323.0"/>
        <n v="15192.0"/>
        <n v="15139.0"/>
        <n v="15065.0"/>
        <n v="14922.0"/>
        <n v="14920.0"/>
        <n v="14902.0"/>
        <n v="14789.0"/>
        <n v="14587.0"/>
        <n v="14548.0"/>
        <n v="13959.0"/>
        <n v="13918.0"/>
        <n v="13815.0"/>
        <n v="13640.0"/>
        <n v="13546.0"/>
        <n v="13332.0"/>
        <n v="13221.0"/>
        <n v="13168.0"/>
        <n v="13143.0"/>
        <n v="12874.0"/>
        <n v="12867.0"/>
        <n v="12856.0"/>
        <n v="12825.0"/>
        <n v="12749.0"/>
        <n v="12605.0"/>
        <n v="12526.0"/>
        <n v="12357.0"/>
        <n v="12260.0"/>
        <n v="12255.0"/>
        <n v="12230.0"/>
        <n v="12219.0"/>
        <n v="12139.0"/>
        <n v="12058.0"/>
        <n v="11993.0"/>
        <n v="11949.0"/>
        <n v="11798.0"/>
        <n v="11778.0"/>
        <n v="11713.0"/>
        <n v="11638.0"/>
        <n v="11456.0"/>
        <n v="11296.0"/>
        <n v="11285.0"/>
        <n v="11245.0"/>
        <n v="11222.0"/>
        <n v="11198.0"/>
        <n v="11185.0"/>
        <n v="11161.0"/>
        <n v="11160.0"/>
        <n v="11094.0"/>
        <n v="11081.0"/>
        <n v="10935.0"/>
        <n v="10921.0"/>
        <n v="10878.0"/>
        <n v="10719.0"/>
        <n v="10712.0"/>
        <n v="10699.0"/>
        <n v="10639.0"/>
        <n v="10564.0"/>
        <n v="10397.0"/>
        <n v="10387.0"/>
        <n v="10198.0"/>
        <n v="10196.0"/>
        <n v="10143.0"/>
        <n v="9988.0"/>
        <n v="9987.0"/>
        <n v="9985.0"/>
        <n v="9941.0"/>
        <n v="9927.0"/>
        <n v="9926.0"/>
        <n v="9706.0"/>
        <n v="9700.0"/>
        <n v="9667.0"/>
        <n v="9646.0"/>
        <n v="9568.0"/>
        <n v="9536.0"/>
        <n v="9520.0"/>
        <n v="9422.0"/>
        <n v="9404.0"/>
        <n v="9363.0"/>
        <n v="9303.0"/>
        <n v="9275.0"/>
        <n v="9254.0"/>
        <n v="9223.0"/>
        <n v="9168.0"/>
        <n v="9120.0"/>
        <n v="9091.0"/>
        <n v="9088.0"/>
        <n v="9016.0"/>
        <n v="8887.0"/>
        <n v="8764.0"/>
        <n v="8760.0"/>
        <n v="8752.0"/>
        <n v="8468.0"/>
        <n v="8440.0"/>
        <n v="8430.0"/>
        <n v="8411.0"/>
        <n v="8401.0"/>
        <n v="8206.0"/>
        <n v="8203.0"/>
        <n v="8167.0"/>
        <n v="8144.0"/>
        <n v="8103.0"/>
        <n v="8015.0"/>
        <n v="7926.0"/>
        <n v="7816.0"/>
        <n v="7741.0"/>
        <n v="7546.0"/>
        <n v="7508.0"/>
        <n v="7272.0"/>
        <n v="7229.0"/>
        <n v="7164.0"/>
        <n v="7120.0"/>
        <n v="7082.0"/>
        <n v="7079.0"/>
        <n v="7053.0"/>
        <n v="6988.0"/>
        <n v="6913.0"/>
        <n v="6868.0"/>
        <n v="6858.0"/>
        <n v="6822.0"/>
        <n v="6640.0"/>
        <n v="6567.0"/>
        <n v="6545.0"/>
        <n v="6521.0"/>
        <n v="6431.0"/>
        <n v="6420.0"/>
        <n v="6416.0"/>
        <n v="6340.0"/>
        <n v="6303.0"/>
        <n v="6243.0"/>
        <n v="6152.0"/>
        <n v="6105.0"/>
        <n v="6104.0"/>
        <n v="6093.0"/>
        <n v="6049.0"/>
        <n v="6000.0"/>
        <n v="5959.0"/>
        <n v="5950.0"/>
        <n v="5881.0"/>
        <n v="5879.0"/>
        <n v="5866.0"/>
        <n v="5814.0"/>
        <n v="5776.0"/>
        <n v="5738.0"/>
        <n v="5685.0"/>
        <n v="5677.0"/>
        <n v="5616.0"/>
        <n v="5533.0"/>
        <n v="5524.0"/>
        <n v="5464.0"/>
        <n v="5423.0"/>
        <n v="5408.0"/>
        <n v="5402.0"/>
        <n v="5364.0"/>
        <n v="5358.0"/>
        <n v="5356.0"/>
        <n v="5354.0"/>
        <n v="5240.0"/>
        <n v="5135.0"/>
        <n v="5100.0"/>
        <n v="4971.0"/>
        <n v="4963.0"/>
        <n v="4960.0"/>
        <n v="4950.0"/>
        <n v="4927.0"/>
        <n v="4811.0"/>
        <n v="4774.0"/>
        <n v="4765.0"/>
        <n v="4675.0"/>
        <n v="4553.0"/>
        <n v="4534.0"/>
        <n v="4502.0"/>
        <n v="4486.0"/>
        <n v="4431.0"/>
        <n v="4422.0"/>
        <n v="4366.0"/>
        <n v="4317.0"/>
        <n v="4303.0"/>
        <n v="4279.0"/>
        <n v="4238.0"/>
        <n v="4223.0"/>
        <n v="4179.0"/>
        <n v="4172.0"/>
        <n v="4142.0"/>
        <n v="4135.0"/>
        <n v="4125.0"/>
        <n v="4119.0"/>
        <n v="4024.0"/>
        <n v="3994.0"/>
        <n v="3873.0"/>
        <n v="3872.0"/>
        <n v="3799.0"/>
        <n v="3794.0"/>
        <n v="3785.0"/>
        <n v="3773.0"/>
        <n v="3754.0"/>
        <n v="3692.0"/>
        <n v="3667.0"/>
        <n v="3631.0"/>
        <n v="3626.0"/>
        <n v="3622.0"/>
        <n v="3620.0"/>
        <n v="3606.0"/>
        <n v="3597.0"/>
        <n v="3549.0"/>
        <n v="3538.0"/>
        <n v="3529.0"/>
        <n v="3445.0"/>
        <n v="3441.0"/>
        <n v="3421.0"/>
        <n v="3404.0"/>
        <n v="3397.0"/>
        <n v="3372.0"/>
        <n v="3366.0"/>
        <n v="3358.0"/>
        <n v="3357.0"/>
        <n v="3356.0"/>
        <n v="3342.0"/>
        <n v="3311.0"/>
        <n v="3294.0"/>
        <n v="3209.0"/>
        <n v="3203.0"/>
        <n v="3169.0"/>
        <n v="3134.0"/>
        <n v="3081.0"/>
        <n v="3073.0"/>
        <n v="3053.0"/>
        <n v="3050.0"/>
        <n v="2982.0"/>
        <n v="2970.0"/>
        <n v="2956.0"/>
        <n v="2916.0"/>
        <n v="2874.0"/>
        <n v="2873.0"/>
        <n v="2763.0"/>
        <n v="2753.0"/>
        <n v="2712.0"/>
        <n v="2689.0"/>
        <n v="2660.0"/>
        <n v="2657.0"/>
        <n v="2630.0"/>
        <n v="2628.0"/>
        <n v="2622.0"/>
        <n v="2599.0"/>
        <n v="2556.0"/>
        <n v="2532.0"/>
        <n v="2507.0"/>
        <n v="2500.0"/>
        <n v="2484.0"/>
        <n v="2456.0"/>
        <n v="2427.0"/>
        <n v="2413.0"/>
        <n v="2411.0"/>
        <n v="2390.0"/>
        <n v="2370.0"/>
        <n v="2342.0"/>
        <n v="2338.0"/>
        <n v="2298.0"/>
        <n v="2275.0"/>
        <n v="2272.0"/>
        <n v="2260.0"/>
        <n v="2258.0"/>
        <n v="2251.0"/>
        <n v="2236.0"/>
        <n v="2216.0"/>
        <n v="2190.0"/>
        <n v="2189.0"/>
        <n v="2168.0"/>
        <n v="2153.0"/>
        <n v="2140.0"/>
        <n v="2133.0"/>
        <n v="2088.0"/>
        <n v="2074.0"/>
        <n v="2069.0"/>
        <n v="2059.0"/>
        <n v="2056.0"/>
        <n v="2042.0"/>
        <n v="2037.0"/>
        <n v="2008.0"/>
        <n v="2005.0"/>
        <n v="2000.0"/>
        <n v="1974.0"/>
        <n v="1973.0"/>
        <n v="1970.0"/>
        <n v="1888.0"/>
        <n v="1874.0"/>
        <n v="1820.0"/>
        <n v="1807.0"/>
        <n v="1767.0"/>
        <n v="1762.0"/>
        <n v="1756.0"/>
        <n v="1698.0"/>
        <n v="1692.0"/>
        <n v="1689.0"/>
        <n v="1673.0"/>
        <n v="1628.0"/>
        <n v="1607.0"/>
        <n v="1563.0"/>
        <n v="1518.0"/>
        <n v="1492.0"/>
        <n v="1485.0"/>
        <n v="1479.0"/>
        <n v="1450.0"/>
        <n v="1434.0"/>
        <n v="1410.0"/>
        <n v="1396.0"/>
        <n v="1383.0"/>
        <n v="1377.0"/>
        <n v="1345.0"/>
        <n v="1327.0"/>
        <n v="1302.0"/>
        <n v="1291.0"/>
        <n v="1262.0"/>
        <n v="1261.0"/>
        <n v="1250.0"/>
        <n v="1244.0"/>
        <n v="1240.0"/>
        <n v="1211.0"/>
        <n v="1196.0"/>
        <n v="1179.0"/>
        <n v="1120.0"/>
        <n v="1114.0"/>
        <n v="1104.0"/>
        <n v="1103.0"/>
        <n v="1102.0"/>
        <n v="1100.0"/>
        <n v="1097.0"/>
        <n v="1086.0"/>
        <n v="1061.0"/>
        <n v="1050.0"/>
        <n v="1048.0"/>
        <n v="1032.0"/>
        <n v="1008.0"/>
        <n v="1003.0"/>
        <n v="997.0"/>
        <n v="993.0"/>
        <n v="981.0"/>
        <n v="977.0"/>
        <n v="947.0"/>
        <n v="946.0"/>
        <n v="932.0"/>
        <n v="926.0"/>
        <n v="899.0"/>
        <n v="890.0"/>
        <n v="888.0"/>
        <n v="887.0"/>
        <n v="875.0"/>
        <n v="863.0"/>
        <n v="855.0"/>
        <n v="842.0"/>
        <n v="837.0"/>
        <n v="828.0"/>
        <n v="819.0"/>
        <n v="816.0"/>
        <n v="813.0"/>
        <n v="809.0"/>
        <n v="806.0"/>
        <n v="797.0"/>
        <n v="788.0"/>
        <n v="787.0"/>
        <n v="777.0"/>
        <n v="764.0"/>
        <n v="755.0"/>
        <n v="725.0"/>
        <n v="701.0"/>
        <n v="686.0"/>
        <n v="672.0"/>
        <n v="668.0"/>
        <n v="616.0"/>
        <n v="611.0"/>
        <n v="609.0"/>
        <n v="602.0"/>
        <n v="601.0"/>
        <n v="594.0"/>
        <n v="592.0"/>
        <n v="585.0"/>
        <n v="558.0"/>
        <n v="549.0"/>
        <n v="542.0"/>
        <n v="541.0"/>
        <n v="525.0"/>
        <n v="522.0"/>
        <n v="516.0"/>
        <n v="511.0"/>
        <n v="476.0"/>
        <n v="470.0"/>
        <n v="464.0"/>
        <n v="433.0"/>
        <n v="406.0"/>
        <n v="402.0"/>
        <n v="396.0"/>
        <n v="383.0"/>
        <n v="380.0"/>
        <n v="369.0"/>
        <n v="357.0"/>
        <n v="351.0"/>
        <n v="324.0"/>
        <n v="318.0"/>
        <n v="301.0"/>
        <n v="296.0"/>
        <n v="281.0"/>
        <n v="207.0"/>
        <n v="181.0"/>
        <n v="131.0"/>
        <n v="84.0"/>
        <n v="81.0"/>
        <n v="59.0"/>
        <n v="54.0"/>
        <n v="51.0"/>
        <n v="50.0"/>
        <n v="22.0"/>
        <n v="14.0"/>
        <n v="4645.0"/>
        <n v="7683.0"/>
        <n v="1298.0"/>
        <n v="1165.0"/>
        <n v="2344.0"/>
        <n v="444.0"/>
        <n v="1768.0"/>
        <n v="4743.0"/>
        <n v="34448.0"/>
        <n v="38961.0"/>
        <n v="24488.0"/>
        <n v="13348.0"/>
        <n v="38894.0"/>
        <n v="35741.0"/>
        <n v="40010.0"/>
        <n v="20117.0"/>
        <n v="25174.0"/>
        <n v="22081.0"/>
        <n v="19835.0"/>
        <n v="12113.0"/>
        <n v="10504.0"/>
        <n v="26271.0"/>
        <n v="7645.0"/>
        <n v="4476.0"/>
        <n v="8991.0"/>
        <n v="7846.0"/>
        <n v="6177.0"/>
        <n v="5435.0"/>
        <n v="8953.0"/>
        <n v="15211.0"/>
        <n v="7122.0"/>
        <n v="9844.0"/>
        <n v="3147.0"/>
        <n v="6632.0"/>
        <n v="40875.0"/>
        <n v="17165.0"/>
        <n v="42602.0"/>
        <n v="29823.0"/>
        <n v="42437.0"/>
        <n v="16886.0"/>
        <n v="17803.0"/>
        <n v="45378.0"/>
        <n v="32345.0"/>
        <n v="30689.0"/>
        <n v="24478.0"/>
        <n v="25678.0"/>
        <n v="23117.0"/>
        <n v="29086.0"/>
        <n v="3066.0"/>
        <n v="2899.0"/>
        <n v="30617.0"/>
        <n v="20817.0"/>
        <n v="58762.0"/>
        <n v="42014.0"/>
        <n v="25565.0"/>
        <n v="23604.0"/>
        <n v="469802.0"/>
        <n v="14439.0"/>
        <n v="72768.0"/>
        <n v="354769.0"/>
        <n v="13176.0"/>
        <n v="61653.0"/>
        <n v="633563.0"/>
        <n v="15451.0"/>
        <n v="99532.0"/>
        <n v="329943.0"/>
        <n v="10640.0"/>
        <n v="55961.0"/>
        <n v="133396.0"/>
        <n v="14709.0"/>
        <n v="111785.0"/>
        <n v="56030.0"/>
        <n v="8560.0"/>
        <n v="57447.0"/>
        <n v="76736.0"/>
        <n v="5973.0"/>
        <n v="49231.0"/>
        <n v="143334.0"/>
        <n v="15256.0"/>
        <n v="124333.0"/>
        <n v="55717.0"/>
        <n v="8070.0"/>
        <n v="27809.0"/>
        <n v="93044.0"/>
        <n v="15279.0"/>
        <n v="63464.0"/>
        <n v="82566.0"/>
        <n v="10618.0"/>
        <n v="46474.0"/>
        <n v="74421.0"/>
        <n v="9216.0"/>
        <n v="37305.0"/>
        <n v="58153.0"/>
        <n v="9058.0"/>
        <n v="54024.0"/>
        <n v="226160.0"/>
        <n v="7009.0"/>
        <n v="36776.0"/>
        <n v="219148.0"/>
        <n v="4136.0"/>
        <n v="32308.0"/>
        <n v="311428.0"/>
        <n v="33709.0"/>
        <n v="76118.0"/>
        <n v="7552.0"/>
        <n v="37026.0"/>
        <n v="77657.0"/>
        <n v="5654.0"/>
        <n v="49263.0"/>
        <n v="385456.0"/>
        <n v="14824.0"/>
        <n v="68463.0"/>
        <n v="65369.0"/>
        <n v="10404.0"/>
        <n v="41406.0"/>
        <n v="19270.0"/>
        <n v="2847.0"/>
        <n v="51328.0"/>
        <n v="2852.0"/>
        <n v="22685.0"/>
        <n v="1507.0"/>
        <n v="3182.0"/>
        <n v="17163.0"/>
        <n v="20046.0"/>
        <n v="9772.0"/>
        <n v="1364.0"/>
        <n v="7660.0"/>
        <n v="8601.0"/>
        <n v="484.0"/>
        <n v="5067.0"/>
        <n v="162195.0"/>
        <n v="5948.0"/>
        <n v="17305.0"/>
        <n v="122384.0"/>
        <n v="5784.0"/>
        <n v="18241.0"/>
        <n v="81135.0"/>
        <n v="3097.0"/>
        <n v="13178.0"/>
        <n v="212929.0"/>
        <n v="3297.0"/>
        <n v="8845.0"/>
        <n v="46881.0"/>
        <n v="2632.0"/>
        <n v="9084.0"/>
        <n v="22957.0"/>
        <n v="1980.0"/>
        <n v="9666.0"/>
        <n v="74645.0"/>
        <n v="3703.0"/>
        <n v="17336.0"/>
        <n v="1314.0"/>
        <n v="16586.0"/>
        <n v="33398.0"/>
        <n v="1589.0"/>
        <n v="14008.0"/>
        <n v="27240.0"/>
        <n v="2962.0"/>
        <n v="13792.0"/>
        <n v="11333.0"/>
        <n v="9324.0"/>
        <n v="10627.0"/>
        <n v="5930.0"/>
        <n v="15089.0"/>
        <n v="28818.0"/>
        <n v="27082.0"/>
        <n v="20115.0"/>
        <n v="12904.0"/>
        <n v="8604.0"/>
        <n v="10703.0"/>
        <n v="30308.0"/>
        <n v="62776.0"/>
        <n v="47428.0"/>
        <n v="100426.0"/>
        <n v="64167.0"/>
        <n v="99452.0"/>
        <n v="46487.0"/>
        <n v="97861.0"/>
        <n v="60505.0"/>
        <n v="30556.0"/>
        <n v="68122.0"/>
        <n v="30865.0"/>
        <n v="45400.0"/>
        <n v="64435.0"/>
        <n v="38990.0"/>
        <n v="6702.0"/>
        <n v="15407.0"/>
        <n v="11441.0"/>
        <n v="17211.0"/>
        <n v="11700.0"/>
        <n v="14857.0"/>
        <n v="52189.0"/>
        <n v="8924.0"/>
        <n v="32994.0"/>
        <n v="35122.0"/>
        <n v="36141.0"/>
        <n v="63521.0"/>
        <n v="46421.0"/>
        <n v="17732.0"/>
        <n v="48620.0"/>
        <n v="24994.0"/>
        <n v="22572.0"/>
        <n v="38923.0"/>
        <n v="50885.0"/>
        <n v="5782.0"/>
        <n v="23842.0"/>
        <n v="211040.0"/>
        <n v="261738.0"/>
        <n v="300847.0"/>
        <n v="170256.0"/>
        <n v="375291.0"/>
        <n v="138460.0"/>
        <n v="272379.0"/>
        <n v="33519.0"/>
        <n v="64474.0"/>
        <n v="46291.0"/>
        <n v="34946.0"/>
        <n v="28715.0"/>
        <n v="42113.0"/>
        <n v="24898.0"/>
        <n v="25489.0"/>
        <n v="23039.0"/>
        <n v="12073.0"/>
        <n v="12973.0"/>
        <n v="9567.0"/>
        <n v="14868.0"/>
        <n v="12573.0"/>
        <n v="6166.0"/>
        <n v="18774.0"/>
        <n v="24902.0"/>
        <n v="17667.0"/>
        <n v="13818.0"/>
        <n v="31088.0"/>
        <n v="7346.0"/>
        <n v="9439.0"/>
        <n v="13930.0"/>
        <n v="21704.0"/>
        <n v="28092.0"/>
        <n v="13395.0"/>
        <n v="11718.0"/>
        <n v="15236.0"/>
        <n v="3230.0"/>
        <n v="10685.0"/>
        <n v="26568.0"/>
        <n v="27612.0"/>
        <n v="38373.0"/>
        <n v="28185.0"/>
        <n v="19947.0"/>
        <n v="28877.0"/>
        <n v="58488.0"/>
        <n v="66102.0"/>
        <n v="50739.0"/>
        <n v="67736.0"/>
        <n v="72929.0"/>
        <n v="44524.0"/>
        <n v="43453.0"/>
        <n v="18441.0"/>
        <n v="39942.0"/>
        <n v="25152.0"/>
        <n v="20513.0"/>
        <n v="26285.0"/>
        <n v="16841.0"/>
        <n v="35304.0"/>
        <n v="30143.0"/>
        <n v="21472.0"/>
        <n v="18337.0"/>
        <n v="19126.0"/>
        <n v="16322.0"/>
        <n v="7482.0"/>
        <n v="41479.0"/>
        <n v="17378.0"/>
        <n v="70248.0"/>
        <n v="12863.0"/>
        <n v="6711.0"/>
        <n v="3859.0"/>
        <n v="11213.0"/>
        <n v="4847.0"/>
        <n v="21748.0"/>
        <n v="21846.0"/>
        <n v="22656.0"/>
        <n v="24253.0"/>
        <n v="2960.0"/>
        <n v="14745.0"/>
        <n v="9297.0"/>
        <n v="15691.0"/>
        <n v="2820.0"/>
        <n v="11768.0"/>
        <n v="3185.0"/>
        <n v="12488.0"/>
        <n v="18040.0"/>
        <n v="16773.0"/>
        <n v="19551.0"/>
        <n v="10559.0"/>
        <n v="8289.0"/>
        <n v="46876.0"/>
        <n v="45549.0"/>
        <n v="65664.0"/>
        <n v="105441.0"/>
        <n v="43437.0"/>
        <n v="58758.0"/>
        <n v="61396.0"/>
        <n v="69091.0"/>
        <n v="45862.0"/>
        <n v="93164.0"/>
        <n v="50386.0"/>
        <n v="26213.0"/>
        <n v="76642.0"/>
        <n v="27151.0"/>
        <n v="37329.0"/>
        <n v="27232.0"/>
        <n v="244008.0"/>
        <n v="19076.0"/>
        <n v="154506.0"/>
        <n v="154070.0"/>
        <n v="6169.0"/>
        <n v="15390.0"/>
        <n v="83896.0"/>
        <n v="5140.0"/>
        <n v="15035.0"/>
        <n v="74691.0"/>
        <n v="9371.0"/>
        <n v="321218.0"/>
        <n v="55139.0"/>
        <n v="47322.0"/>
        <n v="189577.0"/>
        <n v="89303.0"/>
        <n v="3786.0"/>
        <n v="9146.0"/>
        <n v="154302.0"/>
        <n v="8177.0"/>
        <n v="17932.0"/>
        <n v="82378.0"/>
        <n v="4572.0"/>
        <n v="9690.0"/>
        <n v="71636.0"/>
        <n v="6646.0"/>
        <n v="210752.0"/>
        <n v="13656.0"/>
        <n v="24400.0"/>
        <n v="63359.0"/>
        <n v="6611.0"/>
        <n v="73607.0"/>
        <n v="49415.0"/>
        <n v="8195.0"/>
        <n v="53112.0"/>
        <n v="101568.0"/>
        <n v="79290.0"/>
        <n v="39171.0"/>
        <n v="6633.0"/>
        <n v="37509.0"/>
        <n v="17688.0"/>
        <n v="2485.0"/>
        <n v="293231.0"/>
        <n v="10075.0"/>
        <n v="23086.0"/>
        <n v="12066.0"/>
        <n v="5688.0"/>
        <n v="20420.0"/>
        <n v="8859.0"/>
        <n v="21245.0"/>
        <n v="2782.0"/>
        <n v="38047.0"/>
        <n v="25095.0"/>
        <n v="16385.0"/>
        <n v="3259.0"/>
        <n v="38287.0"/>
        <n v="27421.0"/>
        <n v="15100.0"/>
        <n v="2341.0"/>
        <n v="50743.0"/>
        <n v="22418.0"/>
        <n v="2959.0"/>
        <n v="17374.0"/>
        <n v="3017.0"/>
        <n v="41079.0"/>
        <n v="24448.0"/>
        <n v="46043.0"/>
        <n v="14398.0"/>
        <n v="3365.0"/>
        <n v="2013.0"/>
        <n v="3699.0"/>
        <n v="4776.0"/>
        <n v="4443.0"/>
        <n v="9187.0"/>
        <n v="50384.0"/>
        <n v="20432.0"/>
        <n v="40373.0"/>
        <n v="33971.0"/>
        <n v="42430.0"/>
        <n v="17545.0"/>
        <n v="27944.0"/>
        <n v="7043.0"/>
        <n v="13252.0"/>
        <n v="22230.0"/>
        <n v="39627.0"/>
        <n v="14296.0"/>
        <n v="14701.0"/>
        <n v="1861.0"/>
        <n v="1701.0"/>
        <n v="3084.0"/>
        <n v="3137.0"/>
        <n v="3847.0"/>
        <n v="1515.0"/>
        <n v="2017.0"/>
        <n v="24860.0"/>
        <n v="12882.0"/>
        <n v="11550.0"/>
        <n v="8846.0"/>
        <n v="8527.0"/>
        <n v="5010.0"/>
        <n v="8078.0"/>
        <n v="13969.0"/>
        <n v="4286.0"/>
        <n v="7153.0"/>
        <n v="7579.0"/>
        <n v="333158.0"/>
        <n v="10843.0"/>
        <n v="45477.0"/>
        <n v="332757.0"/>
        <n v="86059.0"/>
        <n v="146338.0"/>
        <n v="140230.0"/>
        <n v="139092.0"/>
        <n v="29966.0"/>
        <n v="112506.0"/>
        <n v="99038.0"/>
        <n v="82339.0"/>
        <n v="139133.0"/>
        <n v="86352.0"/>
        <n v="100731.0"/>
        <n v="65752.0"/>
        <n v="87936.0"/>
        <n v="73236.0"/>
        <n v="125028.0"/>
        <n v="84709.0"/>
        <n v="82628.0"/>
        <n v="88292.0"/>
        <n v="170387.0"/>
        <n v="105086.0"/>
        <n v="112890.0"/>
        <n v="95003.0"/>
        <n v="51291.0"/>
        <n v="44523.0"/>
        <n v="33016.0"/>
        <n v="11621.0"/>
        <n v="21734.0"/>
        <n v="16372.0"/>
        <n v="22372.0"/>
        <n v="13232.0"/>
        <n v="20982.0"/>
        <n v="19415.0"/>
        <n v="18013.0"/>
        <n v="150961.0"/>
        <n v="85476.0"/>
        <n v="126804.0"/>
        <n v="119472.0"/>
        <n v="226334.0"/>
        <n v="152465.0"/>
        <n v="159174.0"/>
        <n v="113181.0"/>
        <n v="126626.0"/>
        <n v="88328.0"/>
        <n v="110131.0"/>
        <n v="88394.0"/>
        <n v="103806.0"/>
        <n v="87842.0"/>
        <n v="63169.0"/>
        <n v="118356.0"/>
        <n v="48848.0"/>
        <n v="36583.0"/>
        <n v="38506.0"/>
        <n v="32374.0"/>
        <n v="57386.0"/>
        <n v="50955.0"/>
        <n v="105113.0"/>
        <n v="113255.0"/>
        <n v="59648.0"/>
        <n v="150997.0"/>
        <n v="179317.0"/>
        <n v="130717.0"/>
        <n v="89437.0"/>
        <n v="39536.0"/>
        <n v="52388.0"/>
        <n v="100604.0"/>
        <n v="110608.0"/>
        <n v="22917.0"/>
        <n v="30750.0"/>
        <n v="59209.0"/>
        <n v="30071.0"/>
        <n v="28500.0"/>
        <n v="14064.0"/>
        <n v="3159.0"/>
        <n v="9144.0"/>
        <n v="6635.0"/>
        <n v="13606.0"/>
        <n v="7089.0"/>
        <n v="33412.0"/>
        <n v="52683.0"/>
        <n v="30552.0"/>
        <n v="26861.0"/>
        <n v="30408.0"/>
        <n v="74720.0"/>
        <n v="39801.0"/>
        <n v="23100.0"/>
        <n v="67856.0"/>
        <n v="46714.0"/>
        <n v="74758.0"/>
        <n v="51810.0"/>
        <n v="69361.0"/>
        <n v="58882.0"/>
        <n v="17569.0"/>
        <n v="15516.0"/>
        <n v="18698.0"/>
        <n v="31194.0"/>
        <n v="5059.0"/>
        <n v="4798.0"/>
        <n v="5058.0"/>
        <n v="3326.0"/>
        <n v="8434.0"/>
        <n v="38973.0"/>
        <n v="8471.0"/>
        <n v="6820.0"/>
        <n v="18751.0"/>
        <n v="9370.0"/>
        <n v="14820.0"/>
        <n v="9676.0"/>
        <n v="30196.0"/>
        <n v="42321.0"/>
        <n v="51280.0"/>
        <n v="16452.0"/>
        <n v="4955.0"/>
        <n v="38367.0"/>
        <n v="45606.0"/>
        <n v="37966.0"/>
        <n v="3459.0"/>
        <n v="34240.0"/>
        <n v="11544.0"/>
        <n v="35286.0"/>
        <n v="17238.0"/>
        <n v="37494.0"/>
        <n v="16653.0"/>
        <n v="15672.0"/>
        <n v="19015.0"/>
        <n v="6370.0"/>
        <n v="15440.0"/>
        <n v="9791.0"/>
        <n v="3362.0"/>
        <n v="11373.0"/>
        <n v="2634.0"/>
        <n v="5264.0"/>
        <n v="7883.0"/>
        <n v="20565.0"/>
        <n v="43834.0"/>
        <n v="47398.0"/>
        <n v="98338.0"/>
        <n v="108125.0"/>
        <n v="55117.0"/>
        <n v="50720.0"/>
        <n v="23982.0"/>
        <n v="120178.0"/>
        <n v="77920.0"/>
        <n v="57091.0"/>
        <n v="180775.0"/>
        <n v="4049305.1"/>
        <n v="317500.0"/>
        <n v="93482.0"/>
        <n v="2196.0"/>
        <n v="176.0"/>
        <n v="3425.0"/>
        <n v="177.0"/>
        <n v="2443847.0"/>
        <n v="2983854.0"/>
        <n v="609775.0"/>
        <n v="2615425.0"/>
        <n v="205275.0"/>
        <n v="114071.0"/>
        <n v="57508.0"/>
        <n v="55606.0"/>
        <n v="50095.0"/>
        <n v="48592.0"/>
        <n v="83822.0"/>
        <n v="102783.0"/>
        <n v="54926.0"/>
        <n v="75789.0"/>
        <n v="57127.0"/>
        <n v="50617.0"/>
        <n v="47040.0"/>
        <n v="57374.0"/>
        <n v="42196.0"/>
        <n v="64600.0"/>
        <n v="44112.0"/>
        <n v="58045.0"/>
        <n v="49563.0"/>
        <n v="58078.0"/>
        <n v="7844.0"/>
        <n v="62929.0"/>
        <n v="254469.0"/>
        <n v="8570.0"/>
        <n v="43226.0"/>
        <n v="185002.0"/>
        <n v="7318.0"/>
        <n v="32697.0"/>
        <n v="73440.0"/>
        <n v="9108.0"/>
        <n v="58176.0"/>
        <n v="351173.0"/>
        <n v="13743.0"/>
        <n v="64151.0"/>
        <n v="396057.0"/>
        <n v="11182.0"/>
        <n v="56799.0"/>
        <n v="140569.0"/>
        <n v="4483.0"/>
        <n v="20767.0"/>
        <n v="123992.0"/>
        <n v="16874.0"/>
        <n v="146376.0"/>
        <n v="5400.0"/>
        <n v="31298.0"/>
        <n v="128514.0"/>
        <n v="15540.0"/>
        <n v="129958.0"/>
        <n v="163384.0"/>
        <n v="29388.0"/>
        <n v="126843.0"/>
        <n v="43841.0"/>
        <n v="8061.0"/>
        <n v="40333.0"/>
        <n v="44147.0"/>
        <n v="4575.0"/>
        <n v="33712.0"/>
        <n v="82870.0"/>
        <n v="7331.0"/>
        <n v="49432.0"/>
        <n v="52804.0"/>
        <n v="5567.0"/>
        <n v="31111.0"/>
        <n v="79903.0"/>
        <n v="6464.0"/>
        <n v="56102.0"/>
        <n v="49986.0"/>
        <n v="6594.0"/>
        <n v="48282.0"/>
        <n v="2318.0"/>
        <n v="5586.0"/>
        <n v="75915.0"/>
        <n v="7986.0"/>
        <n v="36253.0"/>
        <n v="76638.0"/>
        <n v="9067.0"/>
        <n v="39180.0"/>
        <n v="48815.0"/>
        <n v="6399.0"/>
        <n v="29799.0"/>
        <n v="1354.0"/>
        <n v="4556.0"/>
        <n v="30010.0"/>
        <n v="3978.0"/>
        <n v="21720.0"/>
        <n v="55118.0"/>
        <n v="6388.0"/>
        <n v="23233.0"/>
        <n v="167873.0"/>
        <n v="6127.0"/>
        <n v="15673.0"/>
        <n v="58907.0"/>
        <n v="2774.0"/>
        <n v="6875.0"/>
        <n v="79447.0"/>
        <n v="3779.0"/>
        <n v="9173.0"/>
        <n v="69723.0"/>
        <n v="2748.0"/>
        <n v="8034.0"/>
        <n v="10022.0"/>
        <n v="136125.0"/>
        <n v="22097.0"/>
        <n v="74037.0"/>
        <n v="62663.0"/>
        <n v="13108.0"/>
        <n v="59123.0"/>
        <n v="42016.0"/>
        <n v="6839.0"/>
        <n v="44601.0"/>
        <n v="82707.0"/>
        <n v="58148.0"/>
        <n v="63441.0"/>
        <n v="11082.0"/>
        <n v="68456.0"/>
        <n v="26939.0"/>
        <n v="42973.0"/>
        <n v="64312.0"/>
        <n v="45758.0"/>
        <n v="139690.0"/>
        <n v="49587.0"/>
        <n v="19240.0"/>
        <n v="46920.0"/>
        <n v="105825.0"/>
        <n v="63784.0"/>
        <n v="91446.0"/>
        <n v="49371.0"/>
        <n v="81187.0"/>
        <n v="4165.0"/>
        <n v="14270.0"/>
        <n v="173635.0"/>
        <n v="5326.0"/>
        <n v="32108.0"/>
        <n v="69058.0"/>
        <n v="3389.0"/>
        <n v="13056.0"/>
        <n v="88976.0"/>
        <n v="3469.0"/>
        <n v="12045.0"/>
        <n v="78094.0"/>
        <n v="2010.0"/>
        <n v="11181.0"/>
        <n v="72004.0"/>
        <n v="3879.0"/>
        <n v="14181.0"/>
        <n v="81477.0"/>
        <n v="2043.0"/>
        <n v="10738.0"/>
        <n v="54147.0"/>
        <n v="1524.0"/>
        <n v="5426.0"/>
        <n v="23372.0"/>
        <n v="1792.0"/>
        <n v="4157.0"/>
        <n v="26941.0"/>
        <n v="17983.0"/>
        <n v="2881.0"/>
        <n v="20931.0"/>
        <n v="48689.0"/>
        <n v="58490.0"/>
        <n v="99428.0"/>
        <n v="122334.0"/>
        <n v="165738.0"/>
        <n v="80595.0"/>
        <n v="43485.0"/>
        <n v="50924.0"/>
        <n v="56704.0"/>
        <n v="11147.0"/>
        <n v="4727.0"/>
        <n v="10238.0"/>
        <n v="76785.0"/>
        <n v="25450.0"/>
        <n v="30322.0"/>
        <n v="76365.0"/>
        <n v="93248.0"/>
        <n v="48192.0"/>
        <n v="53955.0"/>
        <n v="63728.0"/>
        <n v="55095.0"/>
        <n v="26290.0"/>
        <n v="32677.0"/>
        <n v="44219.0"/>
        <n v="31004.0"/>
        <n v="33330.0"/>
        <n v="42984.0"/>
        <n v="30410.0"/>
        <n v="20268.0"/>
        <n v="24578.0"/>
        <n v="17764.0"/>
        <n v="4201.0"/>
        <n v="6954.0"/>
        <n v="5101.0"/>
        <n v="5659.0"/>
        <n v="2943.0"/>
        <n v="7391.0"/>
        <n v="7907.0"/>
        <n v="17220.0"/>
        <n v="13100.0"/>
        <n v="5918.0"/>
        <n v="6163.0"/>
        <n v="12366.0"/>
        <n v="11914.0"/>
        <n v="11921.0"/>
        <n v="6085.0"/>
        <n v="6402.0"/>
        <n v="7894.0"/>
        <n v="5104.0"/>
        <n v="4140.0"/>
        <n v="3505.0"/>
        <n v="1917.0"/>
        <n v="3824.0"/>
        <n v="2678.0"/>
        <n v="4081.0"/>
        <n v="2317.0"/>
        <n v="1781.0"/>
        <n v="1409.0"/>
        <n v="4234.0"/>
        <n v="3135.0"/>
        <n v="873.0"/>
        <n v="2177.0"/>
        <n v="862.0"/>
        <n v="1390.0"/>
        <n v="1873.0"/>
        <n v="271.0"/>
        <n v="2922.0"/>
        <n v="1038.0"/>
        <n v="2369.0"/>
        <n v="2458.0"/>
        <n v="1331.0"/>
        <n v="8581.0"/>
        <n v="10202.0"/>
        <n v="14137.0"/>
        <n v="15986.0"/>
        <n v="16711.0"/>
        <n v="6314.0"/>
        <n v="2979.0"/>
        <n v="1509.0"/>
        <n v="5097.0"/>
        <n v="2380.0"/>
        <n v="2335.0"/>
        <n v="2301.0"/>
        <n v="2428.0"/>
        <n v="3298.0"/>
        <n v="3814.0"/>
        <n v="2990.0"/>
        <n v="4313.0"/>
        <n v="969.0"/>
        <n v="3602.0"/>
        <n v="6190.0"/>
        <n v="20208.0"/>
        <n v="4753.0"/>
        <n v="3676.0"/>
        <n v="5456.0"/>
        <n v="8116.0"/>
        <n v="565650.0"/>
        <n v="19550.0"/>
        <n v="13461.0"/>
        <n v="428254.0"/>
        <n v="19543.0"/>
        <n v="83473.0"/>
        <n v="292194.0"/>
        <n v="15103.0"/>
        <n v="51947.0"/>
        <n v="407065.0"/>
        <n v="17466.0"/>
        <n v="76950.0"/>
        <n v="230002.0"/>
        <n v="9693.0"/>
        <n v="38351.0"/>
        <n v="226417.0"/>
        <n v="41701.0"/>
        <n v="155254.0"/>
        <n v="90680.0"/>
        <n v="13934.0"/>
        <n v="78823.0"/>
        <n v="116714.0"/>
        <n v="22221.0"/>
        <n v="104714.0"/>
        <n v="125307.0"/>
        <n v="17502.0"/>
        <n v="89802.0"/>
        <n v="101839.0"/>
        <n v="15845.0"/>
        <n v="83862.0"/>
        <n v="168796.0"/>
        <n v="31655.0"/>
        <n v="115421.0"/>
        <n v="36447.0"/>
        <n v="7903.0"/>
        <n v="49835.0"/>
        <n v="50789.0"/>
        <n v="11011.0"/>
        <n v="51085.0"/>
        <n v="116704.0"/>
        <n v="17861.0"/>
        <n v="78405.0"/>
        <n v="102356.0"/>
        <n v="12264.0"/>
        <n v="87057.0"/>
        <n v="63093.0"/>
        <n v="5535.0"/>
        <n v="58945.0"/>
        <n v="37183.0"/>
        <n v="5661.0"/>
        <n v="31996.0"/>
        <n v="62515.0"/>
        <n v="8252.0"/>
        <n v="57094.0"/>
        <n v="53766.0"/>
        <n v="4222.0"/>
        <n v="50855.0"/>
        <n v="53668.0"/>
        <n v="3789.0"/>
        <n v="34923.0"/>
        <n v="1080950.0"/>
        <n v="241000.0"/>
        <n v="120940.0"/>
        <n v="138171.0"/>
        <n v="6246.0"/>
        <n v="25943.0"/>
        <n v="58428.0"/>
        <n v="11247.0"/>
        <n v="289360.0"/>
        <n v="8812.0"/>
        <n v="57543.0"/>
        <n v="47013.0"/>
        <n v="6209.0"/>
        <n v="40469.0"/>
        <n v="43837.0"/>
        <n v="7745.0"/>
        <n v="38577.0"/>
        <n v="41943.0"/>
        <n v="5704.0"/>
        <n v="37725.0"/>
        <n v="98483.0"/>
        <n v="11601.0"/>
        <n v="104645.0"/>
        <n v="10170.0"/>
        <n v="1133.0"/>
        <n v="6564.0"/>
        <n v="47476.0"/>
        <n v="38013.0"/>
        <n v="64177.0"/>
        <n v="5379.0"/>
        <n v="36243.0"/>
        <n v="1282.0"/>
        <n v="4104.0"/>
        <n v="37192.0"/>
        <n v="32781.0"/>
        <n v="37179.0"/>
        <n v="83295.0"/>
        <n v="68934.0"/>
        <n v="82979.0"/>
        <n v="72697.0"/>
        <n v="80574.0"/>
        <n v="44489.0"/>
        <n v="13294.0"/>
        <n v="54826.0"/>
        <n v="38445.0"/>
        <n v="17644.0"/>
        <n v="36938.0"/>
        <n v="20425.0"/>
        <n v="1803.0"/>
        <n v="17599.0"/>
        <n v="16522.0"/>
        <n v="774.0"/>
        <n v="14290.0"/>
        <n v="783.0"/>
        <n v="16051.0"/>
        <n v="27921.0"/>
        <n v="15763.0"/>
        <n v="41810.0"/>
        <n v="42528.0"/>
        <n v="65036.0"/>
        <n v="47625.0"/>
        <n v="63769.0"/>
        <n v="77268.0"/>
        <n v="63467.0"/>
        <n v="67023.0"/>
        <n v="26524.0"/>
        <n v="3775.0"/>
        <n v="13711.0"/>
        <n v="21312.0"/>
        <n v="116785.0"/>
        <n v="103047.0"/>
        <n v="144297.0"/>
        <n v="73971.0"/>
        <n v="198889.0"/>
        <n v="108388.0"/>
        <n v="27348.0"/>
        <n v="22936.0"/>
        <n v="48429.0"/>
        <n v="44216.0"/>
        <n v="63615.0"/>
        <n v="43675.0"/>
        <n v="54693.0"/>
        <n v="49299.0"/>
        <n v="984796.0"/>
        <n v="3748.0"/>
        <n v="53405.0"/>
        <n v="6206.0"/>
        <n v="62052.0"/>
        <n v="895035.0"/>
        <n v="4576.0"/>
        <n v="45076.0"/>
        <n v="9026.0"/>
        <n v="83208.0"/>
        <n v="375019.0"/>
        <n v="12127.0"/>
        <n v="62416.0"/>
        <n v="232146.0"/>
        <n v="5106.0"/>
        <n v="27948.0"/>
        <n v="384602.0"/>
        <n v="9572.0"/>
        <n v="58690.0"/>
        <n v="35829.0"/>
        <n v="5091.0"/>
        <n v="144180.0"/>
        <n v="18837.0"/>
        <n v="141228.0"/>
        <n v="17922.0"/>
        <n v="2680.0"/>
        <n v="3488.0"/>
        <n v="149459.0"/>
        <n v="24818.0"/>
        <n v="75862.0"/>
        <n v="12155.0"/>
        <n v="4595.0"/>
        <n v="7666.0"/>
        <n v="4883.0"/>
        <n v="2619.0"/>
        <n v="9373.0"/>
        <n v="13778.0"/>
        <n v="9634.0"/>
        <n v="86521.0"/>
        <n v="132732.0"/>
        <n v="128311.0"/>
        <n v="268143.0"/>
        <n v="30218.0"/>
        <n v="37908.0"/>
        <n v="82393.0"/>
        <n v="20447.0"/>
        <n v="111789.0"/>
        <n v="354098.0"/>
        <n v="61252.0"/>
        <n v="85775.0"/>
        <n v="55417.0"/>
        <n v="14435.0"/>
        <n v="125664.0"/>
        <n v="46193.0"/>
        <n v="40852.0"/>
        <n v="130861.0"/>
        <n v="91672.0"/>
        <n v="182943.0"/>
        <n v="65839.0"/>
        <n v="42192.0"/>
        <n v="40717.0"/>
        <n v="28800.0"/>
        <n v="94497.0"/>
        <n v="38599.0"/>
        <n v="56715.0"/>
        <n v="64493.0"/>
        <n v="44641.0"/>
        <n v="28920.0"/>
        <n v="36548.0"/>
        <n v="136755.0"/>
        <n v="80837.0"/>
        <n v="73873.0"/>
        <n v="195678.0"/>
        <n v="148779.0"/>
        <n v="11089.0"/>
        <n v="12847.0"/>
        <n v="9159.0"/>
        <n v="16524.0"/>
        <n v="30455.0"/>
        <n v="21475.0"/>
        <n v="23872.0"/>
        <n v="14554.0"/>
        <n v="23940.0"/>
        <n v="8772.0"/>
        <n v="38479.0"/>
        <n v="67490.0"/>
        <n v="49434.0"/>
        <n v="76106.0"/>
        <n v="127380.0"/>
        <n v="81405.0"/>
        <n v="2711.0"/>
        <n v="1547.0"/>
      </sharedItems>
    </cacheField>
    <cacheField name="Phân Nhóm" numFmtId="0">
      <sharedItems>
        <s v="Nhom 3: &lt; 3 thang"/>
        <s v="Nhom 2: 3-11 thang"/>
        <s v="Nhom 1: &gt;= 12 thang"/>
      </sharedItems>
    </cacheField>
    <cacheField name="Mô hình dự báo đề xuất" numFmtId="0">
      <sharedItems>
        <s v="Safety Stock"/>
        <s v="XGBoost"/>
        <s v="MA3"/>
      </sharedItems>
    </cacheField>
    <cacheField name="Chạy mô hình" numFmtId="0">
      <sharedItems containsSemiMixedTypes="0" containsString="0" containsNumber="1">
        <n v="96.0"/>
        <n v="169.60000000000002"/>
        <n v="1408.0"/>
        <n v="64.0"/>
        <n v="457.20000000000005"/>
        <n v="14.4"/>
        <n v="45.6"/>
        <n v="273.6"/>
        <n v="33.2"/>
        <n v="398.0"/>
        <n v="31.6"/>
        <n v="685.6"/>
        <n v="1328.8000000000002"/>
        <n v="14.0"/>
        <n v="415.6"/>
        <n v="141.6"/>
        <n v="640.0"/>
        <n v="256.0"/>
        <n v="832.0"/>
        <n v="128.0"/>
        <n v="168.0"/>
        <n v="214.8"/>
        <n v="384.0"/>
        <n v="8640.0"/>
        <n v="576.0"/>
        <n v="960.0"/>
        <n v="1705.6000000000001"/>
        <n v="288.0"/>
        <n v="563.2"/>
        <n v="2428.8"/>
        <n v="588.8000000000001"/>
        <n v="1097.6000000000001"/>
        <n v="508.8"/>
        <n v="734.4000000000001"/>
        <n v="1396.8000000000002"/>
        <n v="947.2"/>
        <n v="1152.0"/>
        <n v="352.0"/>
        <n v="1510.4"/>
        <n v="115.2"/>
        <n v="1216.0"/>
        <n v="201.60000000000002"/>
        <n v="643.2"/>
        <n v="204.8"/>
        <n v="825.6"/>
        <n v="32.0"/>
        <n v="6.4"/>
        <n v="138.0"/>
        <n v="122.4"/>
        <n v="51.6"/>
        <n v="38.400000000000006"/>
        <n v="472.8"/>
        <n v="50.400000000000006"/>
        <n v="3.6"/>
        <n v="36.800000000000004"/>
        <n v="4.0"/>
        <n v="13.600000000000001"/>
        <n v="240.0"/>
        <n v="22.400000000000002"/>
        <n v="144.0"/>
        <n v="1856.0"/>
        <n v="779.2"/>
        <n v="2131.2000000000003"/>
        <n v="1920.0"/>
        <n v="401.6"/>
        <n v="2150.4"/>
        <n v="921.6"/>
        <n v="1382.4"/>
        <n v="307.20000000000005"/>
        <n v="86.4"/>
        <n v="1.2000000000000002"/>
        <n v="600.0"/>
        <n v="50.0"/>
        <n v="24.0"/>
        <n v="56.0"/>
        <n v="7.2"/>
        <n v="400.0"/>
        <n v="48.400000000000006"/>
        <n v="7.6000000000000005"/>
        <n v="40.400000000000006"/>
        <n v="339.20000000000005"/>
        <n v="3.2"/>
        <n v="123.2"/>
        <n v="116.4"/>
        <n v="61.2"/>
        <n v="140.8"/>
        <n v="614.4000000000001"/>
        <n v="198.4"/>
        <n v="42.800000000000004"/>
        <n v="1689.6000000000001"/>
        <n v="2457.6000000000004"/>
        <n v="188.4"/>
        <n v="393.6"/>
        <n v="314.40000000000003"/>
        <n v="446.0"/>
        <n v="697.6"/>
        <n v="1904.0"/>
        <n v="1596.8000000000002"/>
        <n v="390.40000000000003"/>
        <n v="700.8000000000001"/>
        <n v="4771.2"/>
        <n v="3260.8"/>
        <n v="1897.6000000000001"/>
        <n v="1088.0"/>
        <n v="377.6"/>
        <n v="1926.4"/>
        <n v="460.8"/>
        <n v="233.60000000000002"/>
        <n v="249.60000000000002"/>
        <n v="1601.6000000000001"/>
        <n v="884.8000000000001"/>
        <n v="108.80000000000001"/>
        <n v="171.20000000000002"/>
        <n v="512.0"/>
        <n v="99.2"/>
        <n v="340.8"/>
        <n v="1029.6000000000001"/>
        <n v="493.20000000000005"/>
        <n v="135.6"/>
        <n v="106.80000000000001"/>
        <n v="64.8"/>
        <n v="301.2"/>
        <n v="137.6"/>
        <n v="134.4"/>
        <n v="192.0"/>
        <n v="80.0"/>
        <n v="1696.0"/>
        <n v="92.80000000000001"/>
        <n v="624.0"/>
        <n v="275.2"/>
        <n v="1232.0"/>
        <n v="864.0"/>
        <n v="1040.0"/>
        <n v="310.40000000000003"/>
        <n v="1555.2"/>
        <n v="387.20000000000005"/>
        <n v="1065.6000000000001"/>
        <n v="12.8"/>
        <n v="972.8000000000001"/>
        <n v="195.20000000000002"/>
        <n v="1420.8000000000002"/>
        <n v="9.200000000000001"/>
        <n v="1142.4"/>
        <n v="780.8000000000001"/>
        <n v="585.6"/>
        <n v="230.4"/>
        <n v="470.40000000000003"/>
        <n v="272.0"/>
        <n v="88.0"/>
        <n v="182.4"/>
        <n v="124.80000000000001"/>
        <n v="110.4"/>
        <n v="156.8"/>
        <n v="85.2"/>
        <n v="780.0"/>
        <n v="148.8"/>
        <n v="76.80000000000001"/>
        <n v="40.800000000000004"/>
        <n v="63.6"/>
        <n v="928.0"/>
        <n v="16.0"/>
        <n v="1376.0"/>
        <n v="19.200000000000003"/>
        <n v="406.40000000000003"/>
        <n v="1385.6000000000001"/>
        <n v="428.8"/>
        <n v="992.0"/>
        <n v="502.40000000000003"/>
        <n v="380.8"/>
        <n v="416.0"/>
        <n v="60.800000000000004"/>
        <n v="1155.2"/>
        <n v="211.20000000000002"/>
        <n v="57.6"/>
        <n v="297.6"/>
        <n v="381.6"/>
        <n v="876.8000000000001"/>
        <n v="1075.2"/>
        <n v="1748.8000000000002"/>
        <n v="2504.0"/>
        <n v="979.2"/>
        <n v="446.40000000000003"/>
        <n v="220.8"/>
        <n v="179.20000000000002"/>
        <n v="841.6"/>
        <n v="1145.6000000000001"/>
        <n v="516.8000000000001"/>
        <n v="21.200000000000003"/>
        <n v="283.6"/>
        <n v="144.4"/>
        <n v="194.8"/>
        <n v="52.800000000000004"/>
        <n v="363.20000000000005"/>
        <n v="4.800000000000001"/>
        <n v="49.2"/>
        <n v="90.4"/>
        <n v="849.6"/>
        <n v="692.8000000000001"/>
        <n v="8798.4"/>
        <n v="956.8000000000001"/>
        <n v="5488.0"/>
        <n v="617.6"/>
        <n v="2656.4"/>
        <n v="5413.200000000001"/>
        <n v="2645.6000000000004"/>
        <n v="3492.4"/>
        <n v="1352.8000000000002"/>
        <n v="2.4000000000000004"/>
        <n v="9.600000000000001"/>
        <n v="62.0"/>
        <n v="56.400000000000006"/>
        <n v="218.4"/>
        <n v="470.8"/>
        <n v="254.0"/>
        <n v="234.8"/>
        <n v="500.8"/>
        <n v="432.0"/>
        <n v="274.8"/>
        <n v="517.6"/>
        <n v="364.40000000000003"/>
        <n v="2966.4"/>
        <n v="160.0"/>
        <n v="768.0"/>
        <n v="3072.0"/>
        <n v="1280.0"/>
        <n v="5942.400000000001"/>
        <n v="924.8000000000001"/>
        <n v="10.0"/>
        <n v="554.0"/>
        <n v="180.0"/>
        <n v="320.0"/>
        <n v="261.2"/>
        <n v="109.60000000000001"/>
        <n v="380.40000000000003"/>
        <n v="221794.2857142857"/>
        <n v="215695.7228571429"/>
        <n v="82937.14285714286"/>
        <n v="55255.71428571428"/>
        <n v="48150.0"/>
        <n v="45861.42857142857"/>
        <n v="37452.857142857145"/>
        <n v="28934.399999999998"/>
        <n v="25899.085714285713"/>
        <n v="22518.68571428571"/>
        <n v="20126.57142857143"/>
        <n v="18750.85714285714"/>
        <n v="14825.657142857142"/>
        <n v="14791.028571428571"/>
        <n v="14108.228571428572"/>
        <n v="11738.742857142855"/>
        <n v="11092.457142857143"/>
        <n v="10939.714285714284"/>
        <n v="10662.857142857143"/>
        <n v="10542.171428571428"/>
        <n v="10426.114285714284"/>
        <n v="9980.742857142855"/>
        <n v="9869.142857142857"/>
        <n v="9654.514285714286"/>
        <n v="9427.714285714286"/>
        <n v="9247.542857142857"/>
        <n v="9088.285714285714"/>
        <n v="9065.142857142857"/>
        <n v="8533.028571428571"/>
        <n v="8311.885714285714"/>
        <n v="8309.485714285714"/>
        <n v="8121.257142857142"/>
        <n v="7778.742857142857"/>
        <n v="7490.057142857142"/>
        <n v="7423.371428571428"/>
        <n v="7335.428571428572"/>
        <n v="7227.085714285714"/>
        <n v="7105.2"/>
        <n v="7084.285714285714"/>
        <n v="6981.771428571428"/>
        <n v="6933.257142857142"/>
        <n v="6746.228571428572"/>
        <n v="6721.542857142857"/>
        <n v="6651.428571428572"/>
        <n v="6611.828571428571"/>
        <n v="6556.8"/>
        <n v="6550.971428571428"/>
        <n v="6526.971428571428"/>
        <n v="6429.599999999999"/>
        <n v="6406.628571428571"/>
        <n v="6334.285714285714"/>
        <n v="6227.142857142858"/>
        <n v="6115.542857142857"/>
        <n v="6026.914285714286"/>
        <n v="5794.628571428571"/>
        <n v="5726.742857142857"/>
        <n v="5590.457142857143"/>
        <n v="5492.571428571428"/>
        <n v="5330.4"/>
        <n v="5231.485714285714"/>
        <n v="5160.857142857142"/>
        <n v="5046.685714285714"/>
        <n v="4853.485714285714"/>
        <n v="4782.171428571429"/>
        <n v="4760.742857142857"/>
        <n v="4723.885714285714"/>
        <n v="4722.685714285714"/>
        <n v="4652.914285714286"/>
        <n v="4644.171428571429"/>
        <n v="4606.114285714286"/>
        <n v="4572.342857142857"/>
        <n v="4419.428571428571"/>
        <n v="4374.5142857142855"/>
        <n v="4369.371428571429"/>
        <n v="4361.485714285714"/>
        <n v="4312.8"/>
        <n v="4297.2"/>
        <n v="4251.599999999999"/>
        <n v="4246.628571428571"/>
        <n v="4229.657142857142"/>
        <n v="4190.057142857143"/>
        <n v="4181.485714285714"/>
        <n v="4171.885714285714"/>
        <n v="4167.428571428571"/>
        <n v="4029.085714285714"/>
        <n v="3982.628571428571"/>
        <n v="3968.228571428571"/>
        <n v="3966.685714285714"/>
        <n v="3939.2571428571428"/>
        <n v="3933.942857142857"/>
        <n v="3922.2857142857138"/>
        <n v="3908.057142857143"/>
        <n v="3826.4571428571426"/>
        <n v="3754.4571428571426"/>
        <n v="3686.3999999999996"/>
        <n v="3621.6"/>
        <n v="3572.4"/>
        <n v="3519.942857142857"/>
        <n v="3488.9142857142856"/>
        <n v="3478.628571428571"/>
        <n v="3421.714285714286"/>
        <n v="3376.7999999999997"/>
        <n v="3316.114285714286"/>
        <n v="3300.171428571429"/>
        <n v="3270.514285714286"/>
        <n v="3214.285714285714"/>
        <n v="3211.028571428571"/>
        <n v="3197.3142857142857"/>
        <n v="3104.9142857142856"/>
        <n v="3068.571428571429"/>
        <n v="3065.657142857143"/>
        <n v="3053.828571428571"/>
        <n v="3025.2"/>
        <n v="3002.4"/>
        <n v="2994.685714285714"/>
        <n v="2987.828571428571"/>
        <n v="2981.828571428571"/>
        <n v="2977.028571428571"/>
        <n v="2973.428571428571"/>
        <n v="2933.657142857143"/>
        <n v="2920.7999999999997"/>
        <n v="2911.542857142857"/>
        <n v="2864.9142857142856"/>
        <n v="2855.657142857143"/>
        <n v="2843.485714285714"/>
        <n v="2836.628571428571"/>
        <n v="2793.942857142857"/>
        <n v="2788.9714285714285"/>
        <n v="2787.6"/>
        <n v="2776.628571428571"/>
        <n v="2773.3714285714286"/>
        <n v="2765.485714285714"/>
        <n v="2744.742857142857"/>
        <n v="2719.885714285714"/>
        <n v="2705.142857142857"/>
        <n v="2695.542857142857"/>
        <n v="2666.057142857143"/>
        <n v="2651.142857142857"/>
        <n v="2645.485714285714"/>
        <n v="2626.7999999999997"/>
        <n v="2604.342857142857"/>
        <n v="2595.2571428571428"/>
        <n v="2582.571428571429"/>
        <n v="2558.057142857143"/>
        <n v="2557.714285714286"/>
        <n v="2554.628571428571"/>
        <n v="2535.2571428571428"/>
        <n v="2500.628571428571"/>
        <n v="2493.942857142857"/>
        <n v="2392.9714285714285"/>
        <n v="2385.942857142857"/>
        <n v="2368.285714285714"/>
        <n v="2338.285714285714"/>
        <n v="2322.1714285714284"/>
        <n v="2285.4857142857145"/>
        <n v="2266.457142857143"/>
        <n v="2257.3714285714286"/>
        <n v="2253.0857142857144"/>
        <n v="2206.9714285714285"/>
        <n v="2205.7714285714283"/>
        <n v="2203.885714285714"/>
        <n v="2198.5714285714284"/>
        <n v="2185.542857142857"/>
        <n v="2160.8571428571427"/>
        <n v="2147.3142857142857"/>
        <n v="2118.342857142857"/>
        <n v="2101.7142857142853"/>
        <n v="2100.8571428571427"/>
        <n v="2096.5714285714284"/>
        <n v="2094.6857142857143"/>
        <n v="2080.9714285714285"/>
        <n v="2067.0857142857144"/>
        <n v="2055.942857142857"/>
        <n v="2048.4"/>
        <n v="2022.5142857142855"/>
        <n v="2019.0857142857144"/>
        <n v="2007.942857142857"/>
        <n v="1995.0857142857144"/>
        <n v="1963.8857142857144"/>
        <n v="1936.4571428571428"/>
        <n v="1934.5714285714284"/>
        <n v="1927.7142857142856"/>
        <n v="1923.7714285714285"/>
        <n v="1919.6571428571428"/>
        <n v="1917.4285714285713"/>
        <n v="1913.3142857142855"/>
        <n v="1913.1428571428569"/>
        <n v="1901.8285714285714"/>
        <n v="1899.6"/>
        <n v="1874.5714285714284"/>
        <n v="1872.1714285714284"/>
        <n v="1864.8"/>
        <n v="1837.542857142857"/>
        <n v="1836.342857142857"/>
        <n v="1834.1142857142856"/>
        <n v="1823.8285714285714"/>
        <n v="1810.9714285714285"/>
        <n v="1782.342857142857"/>
        <n v="1780.6285714285714"/>
        <n v="1748.2285714285715"/>
        <n v="1747.8857142857144"/>
        <n v="1738.8"/>
        <n v="1712.2285714285715"/>
        <n v="1712.057142857143"/>
        <n v="1711.7142857142856"/>
        <n v="1704.1714285714286"/>
        <n v="1701.7714285714285"/>
        <n v="1701.6"/>
        <n v="1663.8857142857144"/>
        <n v="1662.857142857143"/>
        <n v="1657.2"/>
        <n v="1653.6"/>
        <n v="1640.2285714285715"/>
        <n v="1634.742857142857"/>
        <n v="1632.0"/>
        <n v="1615.2"/>
        <n v="1612.1142857142856"/>
        <n v="1605.0857142857144"/>
        <n v="1594.8"/>
        <n v="1590.0"/>
        <n v="1586.3999999999999"/>
        <n v="1581.0857142857144"/>
        <n v="1571.6571428571428"/>
        <n v="1563.4285714285713"/>
        <n v="1558.4571428571428"/>
        <n v="1557.942857142857"/>
        <n v="1545.6"/>
        <n v="1523.4857142857143"/>
        <n v="1502.3999999999999"/>
        <n v="1501.7142857142856"/>
        <n v="1500.342857142857"/>
        <n v="1451.6571428571428"/>
        <n v="1446.857142857143"/>
        <n v="1445.142857142857"/>
        <n v="1441.8857142857144"/>
        <n v="1440.1714285714286"/>
        <n v="1406.742857142857"/>
        <n v="1406.2285714285715"/>
        <n v="1400.057142857143"/>
        <n v="1396.1142857142856"/>
        <n v="1389.0857142857144"/>
        <n v="1374.0"/>
        <n v="1358.742857142857"/>
        <n v="1339.8857142857144"/>
        <n v="1327.0285714285715"/>
        <n v="1293.6"/>
        <n v="1287.0857142857144"/>
        <n v="1246.6285714285714"/>
        <n v="1239.257142857143"/>
        <n v="1228.1142857142856"/>
        <n v="1220.5714285714284"/>
        <n v="1214.0571428571427"/>
        <n v="1213.5428571428572"/>
        <n v="1209.0857142857142"/>
        <n v="1197.942857142857"/>
        <n v="1185.0857142857142"/>
        <n v="1177.3714285714284"/>
        <n v="1175.6571428571428"/>
        <n v="1169.4857142857143"/>
        <n v="1138.2857142857142"/>
        <n v="1125.7714285714285"/>
        <n v="1122.0"/>
        <n v="1117.8857142857141"/>
        <n v="1102.4571428571428"/>
        <n v="1100.5714285714284"/>
        <n v="1099.8857142857141"/>
        <n v="1086.8571428571427"/>
        <n v="1080.5142857142857"/>
        <n v="1070.2285714285715"/>
        <n v="1054.6285714285714"/>
        <n v="1046.5714285714284"/>
        <n v="1046.3999999999999"/>
        <n v="1044.5142857142857"/>
        <n v="1036.9714285714285"/>
        <n v="1028.5714285714284"/>
        <n v="1021.5428571428572"/>
        <n v="1020.0"/>
        <n v="1008.1714285714285"/>
        <n v="1007.8285714285714"/>
        <n v="1005.5999999999999"/>
        <n v="996.6857142857142"/>
        <n v="990.1714285714285"/>
        <n v="983.6571428571427"/>
        <n v="974.5714285714284"/>
        <n v="973.1999999999999"/>
        <n v="962.7428571428571"/>
        <n v="948.5142857142857"/>
        <n v="946.9714285714285"/>
        <n v="936.6857142857142"/>
        <n v="929.6571428571427"/>
        <n v="927.0857142857142"/>
        <n v="926.0571428571427"/>
        <n v="919.5428571428572"/>
        <n v="918.5142857142857"/>
        <n v="918.1714285714285"/>
        <n v="917.8285714285714"/>
        <n v="898.2857142857142"/>
        <n v="880.2857142857142"/>
        <n v="874.2857142857142"/>
        <n v="852.1714285714285"/>
        <n v="850.8"/>
        <n v="850.2857142857142"/>
        <n v="848.5714285714286"/>
        <n v="844.6285714285715"/>
        <n v="824.7428571428571"/>
        <n v="818.4"/>
        <n v="816.8571428571428"/>
        <n v="816.0"/>
        <n v="801.4285714285714"/>
        <n v="780.5142857142857"/>
        <n v="777.2571428571428"/>
        <n v="771.7714285714285"/>
        <n v="769.0285714285715"/>
        <n v="759.6"/>
        <n v="758.0571428571428"/>
        <n v="748.4571428571428"/>
        <n v="740.0571428571428"/>
        <n v="737.6571428571427"/>
        <n v="733.5428571428572"/>
        <n v="726.5142857142857"/>
        <n v="723.9428571428572"/>
        <n v="716.4"/>
        <n v="715.1999999999999"/>
        <n v="710.0571428571428"/>
        <n v="708.8571428571428"/>
        <n v="707.1428571428572"/>
        <n v="706.1142857142858"/>
        <n v="689.8285714285714"/>
        <n v="684.6857142857142"/>
        <n v="663.9428571428572"/>
        <n v="663.7714285714285"/>
        <n v="651.2571428571428"/>
        <n v="650.4"/>
        <n v="648.8571428571428"/>
        <n v="646.8"/>
        <n v="643.5428571428572"/>
        <n v="632.9142857142857"/>
        <n v="628.6285714285715"/>
        <n v="622.4571428571428"/>
        <n v="621.6"/>
        <n v="620.9142857142857"/>
        <n v="620.5714285714286"/>
        <n v="618.1714285714285"/>
        <n v="616.6285714285715"/>
        <n v="608.4"/>
        <n v="606.5142857142857"/>
        <n v="604.9714285714285"/>
        <n v="590.5714285714286"/>
        <n v="589.8857142857142"/>
        <n v="586.4571428571428"/>
        <n v="583.5428571428571"/>
        <n v="582.3428571428572"/>
        <n v="579.7714285714286"/>
        <n v="578.0571428571428"/>
        <n v="577.0285714285714"/>
        <n v="575.6571428571428"/>
        <n v="575.4857142857143"/>
        <n v="575.3142857142857"/>
        <n v="572.9142857142857"/>
        <n v="567.6"/>
        <n v="564.6857142857142"/>
        <n v="550.1142857142858"/>
        <n v="549.0857142857143"/>
        <n v="543.2571428571429"/>
        <n v="537.2571428571429"/>
        <n v="528.1714285714286"/>
        <n v="526.8"/>
        <n v="523.3714285714286"/>
        <n v="522.8571428571429"/>
        <n v="511.2"/>
        <n v="509.1428571428571"/>
        <n v="506.74285714285713"/>
        <n v="499.88571428571424"/>
        <n v="492.68571428571425"/>
        <n v="492.51428571428573"/>
        <n v="473.65714285714284"/>
        <n v="471.9428571428571"/>
        <n v="464.9142857142857"/>
        <n v="460.9714285714286"/>
        <n v="456.0"/>
        <n v="455.48571428571427"/>
        <n v="450.85714285714283"/>
        <n v="450.51428571428573"/>
        <n v="449.48571428571427"/>
        <n v="445.54285714285714"/>
        <n v="438.1714285714286"/>
        <n v="434.0571428571429"/>
        <n v="429.7714285714286"/>
        <n v="428.5714285714286"/>
        <n v="425.82857142857137"/>
        <n v="421.0285714285714"/>
        <n v="416.0571428571429"/>
        <n v="413.65714285714284"/>
        <n v="413.31428571428575"/>
        <n v="411.4285714285714"/>
        <n v="409.7142857142857"/>
        <n v="406.2857142857143"/>
        <n v="401.48571428571427"/>
        <n v="400.8"/>
        <n v="393.9428571428571"/>
        <n v="390.0"/>
        <n v="389.48571428571427"/>
        <n v="387.4285714285714"/>
        <n v="387.08571428571423"/>
        <n v="385.88571428571424"/>
        <n v="383.31428571428575"/>
        <n v="379.88571428571424"/>
        <n v="375.4285714285714"/>
        <n v="375.25714285714287"/>
        <n v="371.65714285714284"/>
        <n v="369.08571428571423"/>
        <n v="366.85714285714283"/>
        <n v="365.65714285714284"/>
        <n v="357.9428571428571"/>
        <n v="356.5714285714286"/>
        <n v="355.54285714285714"/>
        <n v="354.68571428571425"/>
        <n v="352.9714285714286"/>
        <n v="352.45714285714286"/>
        <n v="350.0571428571429"/>
        <n v="349.2"/>
        <n v="344.2285714285714"/>
        <n v="343.7142857142857"/>
        <n v="342.85714285714283"/>
        <n v="338.4"/>
        <n v="338.2285714285714"/>
        <n v="337.7142857142857"/>
        <n v="329.1428571428571"/>
        <n v="323.65714285714284"/>
        <n v="321.25714285714287"/>
        <n v="312.0"/>
        <n v="309.7714285714286"/>
        <n v="302.9142857142857"/>
        <n v="302.0571428571429"/>
        <n v="301.0285714285714"/>
        <n v="291.0857142857143"/>
        <n v="290.0571428571429"/>
        <n v="289.54285714285714"/>
        <n v="286.8"/>
        <n v="279.0857142857143"/>
        <n v="275.48571428571427"/>
        <n v="267.9428571428571"/>
        <n v="260.2285714285714"/>
        <n v="255.77142857142854"/>
        <n v="254.57142857142856"/>
        <n v="253.54285714285712"/>
        <n v="248.57142857142856"/>
        <n v="245.82857142857142"/>
        <n v="241.7142857142857"/>
        <n v="239.3142857142857"/>
        <n v="237.0857142857143"/>
        <n v="236.05714285714285"/>
        <n v="230.57142857142856"/>
        <n v="227.4857142857143"/>
        <n v="223.2"/>
        <n v="221.82857142857142"/>
        <n v="221.4857142857143"/>
        <n v="221.3142857142857"/>
        <n v="218.05714285714285"/>
        <n v="216.34285714285713"/>
        <n v="216.17142857142855"/>
        <n v="214.2857142857143"/>
        <n v="213.25714285714287"/>
        <n v="212.57142857142856"/>
        <n v="207.6"/>
        <n v="205.02857142857144"/>
        <n v="202.1142857142857"/>
        <n v="190.97142857142856"/>
        <n v="189.25714285714287"/>
        <n v="189.0857142857143"/>
        <n v="188.91428571428568"/>
        <n v="188.57142857142856"/>
        <n v="188.05714285714285"/>
        <n v="186.17142857142855"/>
        <n v="181.8857142857143"/>
        <n v="179.65714285714287"/>
        <n v="176.91428571428568"/>
        <n v="172.79999999999998"/>
        <n v="171.94285714285712"/>
        <n v="170.91428571428568"/>
        <n v="170.22857142857143"/>
        <n v="168.17142857142855"/>
        <n v="167.4857142857143"/>
        <n v="163.2"/>
        <n v="162.34285714285713"/>
        <n v="162.17142857142855"/>
        <n v="159.77142857142857"/>
        <n v="158.74285714285713"/>
        <n v="154.1142857142857"/>
        <n v="152.57142857142856"/>
        <n v="152.22857142857143"/>
        <n v="152.05714285714285"/>
        <n v="150.0"/>
        <n v="147.94285714285715"/>
        <n v="146.57142857142856"/>
        <n v="144.34285714285716"/>
        <n v="143.48571428571427"/>
        <n v="141.94285714285715"/>
        <n v="140.4"/>
        <n v="139.88571428571427"/>
        <n v="139.37142857142857"/>
        <n v="138.68571428571428"/>
        <n v="138.17142857142855"/>
        <n v="137.14285714285714"/>
        <n v="136.62857142857143"/>
        <n v="135.0857142857143"/>
        <n v="134.9142857142857"/>
        <n v="133.2"/>
        <n v="130.97142857142856"/>
        <n v="129.42857142857142"/>
        <n v="124.28571428571428"/>
        <n v="120.17142857142856"/>
        <n v="117.6"/>
        <n v="117.25714285714284"/>
        <n v="115.19999999999999"/>
        <n v="114.51428571428572"/>
        <n v="106.97142857142856"/>
        <n v="105.6"/>
        <n v="104.74285714285715"/>
        <n v="104.39999999999999"/>
        <n v="103.2"/>
        <n v="103.02857142857142"/>
        <n v="101.82857142857144"/>
        <n v="101.48571428571428"/>
        <n v="100.28571428571428"/>
        <n v="95.65714285714284"/>
        <n v="94.11428571428571"/>
        <n v="92.91428571428571"/>
        <n v="92.74285714285715"/>
        <n v="90.51428571428572"/>
        <n v="90.0"/>
        <n v="89.48571428571428"/>
        <n v="88.45714285714284"/>
        <n v="87.77142857142856"/>
        <n v="87.6"/>
        <n v="82.28571428571428"/>
        <n v="81.6"/>
        <n v="80.57142857142857"/>
        <n v="79.54285714285714"/>
        <n v="76.8"/>
        <n v="74.22857142857143"/>
        <n v="69.6"/>
        <n v="68.91428571428571"/>
        <n v="67.88571428571429"/>
        <n v="67.2"/>
        <n v="65.65714285714286"/>
        <n v="65.14285714285714"/>
        <n v="63.25714285714285"/>
        <n v="61.199999999999996"/>
        <n v="60.17142857142857"/>
        <n v="55.54285714285714"/>
        <n v="54.51428571428571"/>
        <n v="50.74285714285714"/>
        <n v="48.17142857142857"/>
        <n v="46.971428571428575"/>
        <n v="39.77142857142857"/>
        <n v="35.48571428571429"/>
        <n v="31.02857142857143"/>
        <n v="26.057142857142857"/>
        <n v="24.685714285714287"/>
        <n v="22.45714285714286"/>
        <n v="18.34285714285714"/>
        <n v="17.314285714285713"/>
        <n v="14.399999999999999"/>
        <n v="14.22857142857143"/>
        <n v="13.885714285714284"/>
        <n v="10.114285714285714"/>
        <n v="9.6"/>
        <n v="9.257142857142856"/>
        <n v="8.742857142857142"/>
        <n v="8.571428571428571"/>
        <n v="6.857142857142857"/>
        <n v="6.171428571428572"/>
        <n v="5.485714285714285"/>
        <n v="3.7714285714285714"/>
        <n v="2.4"/>
        <n v="1.7142857142857142"/>
        <n v="387.0833333333333"/>
        <n v="640.25"/>
        <n v="108.16666666666667"/>
        <n v="97.08333333333333"/>
        <n v="195.33333333333334"/>
        <n v="37.0"/>
        <n v="147.33333333333334"/>
        <n v="395.25"/>
        <n v="2870.6666666666665"/>
        <n v="3246.75"/>
        <n v="2040.6666666666667"/>
        <n v="1112.3333333333333"/>
        <n v="3241.1666666666665"/>
        <n v="2978.4166666666665"/>
        <n v="3334.1666666666665"/>
        <n v="1676.4166666666667"/>
        <n v="2097.8333333333335"/>
        <n v="1840.0833333333333"/>
        <n v="1652.9166666666667"/>
        <n v="1009.4166666666666"/>
        <n v="875.3333333333334"/>
        <n v="2189.25"/>
        <n v="637.0833333333334"/>
        <n v="373.0"/>
        <n v="749.25"/>
        <n v="653.8333333333334"/>
        <n v="514.75"/>
        <n v="452.9166666666667"/>
        <n v="746.0833333333334"/>
        <n v="1267.5833333333333"/>
        <n v="593.5"/>
        <n v="820.3333333333334"/>
        <n v="262.25"/>
        <n v="552.6666666666666"/>
        <n v="3406.25"/>
        <n v="1430.4166666666667"/>
        <n v="3550.1666666666665"/>
        <n v="2485.25"/>
        <n v="3536.4166666666665"/>
        <n v="1407.1666666666667"/>
        <n v="1483.5833333333333"/>
        <n v="3781.5"/>
        <n v="2695.4166666666665"/>
        <n v="2557.4166666666665"/>
        <n v="2039.8333333333333"/>
        <n v="2139.8333333333335"/>
        <n v="1926.4166666666667"/>
        <n v="2423.8333333333335"/>
        <n v="255.5"/>
        <n v="241.58333333333334"/>
        <n v="2551.4166666666665"/>
        <n v="1734.75"/>
        <n v="4896.833333333333"/>
        <n v="3501.1666666666665"/>
        <n v="2130.4166666666665"/>
        <n v="1967.0"/>
        <n v="39150.166666666664"/>
        <n v="1203.25"/>
        <n v="6064.0"/>
        <n v="29564.083333333332"/>
        <n v="1098.0"/>
        <n v="5137.75"/>
        <n v="52796.916666666664"/>
        <n v="1287.5833333333333"/>
        <n v="8294.333333333334"/>
        <n v="27495.25"/>
        <n v="886.6666666666666"/>
        <n v="4663.416666666667"/>
        <n v="11116.333333333334"/>
        <n v="1225.75"/>
        <n v="9315.416666666666"/>
        <n v="4669.166666666667"/>
        <n v="713.3333333333334"/>
        <n v="4787.25"/>
        <n v="6394.666666666667"/>
        <n v="497.75"/>
        <n v="4102.583333333333"/>
        <n v="11944.5"/>
        <n v="1271.3333333333333"/>
        <n v="10361.083333333334"/>
        <n v="4643.083333333333"/>
        <n v="672.5"/>
        <n v="2317.4166666666665"/>
        <n v="7753.666666666667"/>
        <n v="1273.25"/>
        <n v="5288.666666666667"/>
        <n v="6880.5"/>
        <n v="884.8333333333334"/>
        <n v="3872.8333333333335"/>
        <n v="6201.75"/>
        <n v="3108.75"/>
        <n v="4846.083333333333"/>
        <n v="754.8333333333334"/>
        <n v="4502.0"/>
        <n v="18846.666666666668"/>
        <n v="584.0833333333334"/>
        <n v="3064.6666666666665"/>
        <n v="18262.333333333332"/>
        <n v="344.6666666666667"/>
        <n v="2692.3333333333335"/>
        <n v="25952.333333333332"/>
        <n v="461.0833333333333"/>
        <n v="2809.0833333333335"/>
        <n v="6343.166666666667"/>
        <n v="629.3333333333334"/>
        <n v="3085.5"/>
        <n v="6471.416666666667"/>
        <n v="471.1666666666667"/>
        <n v="4105.25"/>
        <n v="32121.333333333332"/>
        <n v="1235.3333333333333"/>
        <n v="5705.25"/>
        <n v="5447.416666666667"/>
        <n v="867.0"/>
        <n v="3450.5"/>
        <n v="1605.8333333333333"/>
        <n v="237.25"/>
        <n v="4277.333333333333"/>
        <n v="237.66666666666666"/>
        <n v="1890.4166666666667"/>
        <n v="125.58333333333333"/>
        <n v="265.1666666666667"/>
        <n v="1430.25"/>
        <n v="170.16666666666666"/>
        <n v="1670.5"/>
        <n v="814.3333333333334"/>
        <n v="113.66666666666667"/>
        <n v="638.3333333333334"/>
        <n v="716.75"/>
        <n v="40.333333333333336"/>
        <n v="422.25"/>
        <n v="13516.25"/>
        <n v="495.6666666666667"/>
        <n v="1442.0833333333333"/>
        <n v="10198.666666666666"/>
        <n v="482.0"/>
        <n v="1520.0833333333333"/>
        <n v="6761.25"/>
        <n v="258.0833333333333"/>
        <n v="1098.1666666666667"/>
        <n v="17744.083333333332"/>
        <n v="274.75"/>
        <n v="737.0833333333334"/>
        <n v="3906.75"/>
        <n v="219.33333333333334"/>
        <n v="757.0"/>
        <n v="1913.0833333333333"/>
        <n v="165.0"/>
        <n v="805.5"/>
        <n v="6220.416666666667"/>
        <n v="308.5833333333333"/>
        <n v="1444.6666666666667"/>
        <n v="109.5"/>
        <n v="1382.1666666666667"/>
        <n v="2783.1666666666665"/>
        <n v="132.41666666666666"/>
        <n v="1167.3333333333333"/>
        <n v="2270.0"/>
        <n v="246.83333333333334"/>
        <n v="1149.3333333333333"/>
        <n v="944.4166666666666"/>
        <n v="777.0"/>
        <n v="885.5833333333334"/>
        <n v="494.1666666666667"/>
        <n v="1257.4166666666667"/>
        <n v="2401.5"/>
        <n v="2256.8333333333335"/>
        <n v="1676.25"/>
        <n v="1075.3333333333333"/>
        <n v="717.0"/>
        <n v="891.9166666666666"/>
        <n v="2525.6666666666665"/>
        <n v="5231.333333333333"/>
        <n v="3952.3333333333335"/>
        <n v="8368.833333333334"/>
        <n v="5347.25"/>
        <n v="8287.666666666666"/>
        <n v="3873.9166666666665"/>
        <n v="8155.083333333333"/>
        <n v="5042.083333333333"/>
        <n v="2546.3333333333335"/>
        <n v="5676.833333333333"/>
        <n v="2572.0833333333335"/>
        <n v="3783.3333333333335"/>
        <n v="5369.583333333333"/>
        <n v="3249.1666666666665"/>
        <n v="558.5"/>
        <n v="1283.9166666666667"/>
        <n v="953.4166666666666"/>
        <n v="930.0"/>
        <n v="1434.25"/>
        <n v="975.0"/>
        <n v="1238.0833333333333"/>
        <n v="4349.083333333333"/>
        <n v="743.6666666666666"/>
        <n v="2749.5"/>
        <n v="2926.8333333333335"/>
        <n v="3011.75"/>
        <n v="5293.416666666667"/>
        <n v="3868.4166666666665"/>
        <n v="1477.6666666666667"/>
        <n v="4051.6666666666665"/>
        <n v="2082.8333333333335"/>
        <n v="1881.0"/>
        <n v="3243.5833333333335"/>
        <n v="4240.416666666667"/>
        <n v="481.8333333333333"/>
        <n v="1986.8333333333333"/>
        <n v="17586.666666666668"/>
        <n v="21811.5"/>
        <n v="25070.583333333332"/>
        <n v="14188.0"/>
        <n v="31274.25"/>
        <n v="11538.333333333334"/>
        <n v="22698.25"/>
        <n v="2793.25"/>
        <n v="5372.833333333333"/>
        <n v="3857.5833333333335"/>
        <n v="2912.1666666666665"/>
        <n v="2392.9166666666665"/>
        <n v="3509.4166666666665"/>
        <n v="2074.8333333333335"/>
        <n v="2124.0833333333335"/>
        <n v="1919.9166666666667"/>
        <n v="1006.0833333333334"/>
        <n v="1081.0833333333333"/>
        <n v="797.25"/>
        <n v="1239.0"/>
        <n v="1047.75"/>
        <n v="513.8333333333334"/>
        <n v="1564.5"/>
        <n v="2075.1666666666665"/>
        <n v="1472.25"/>
        <n v="1151.5"/>
        <n v="2590.6666666666665"/>
        <n v="612.1666666666666"/>
        <n v="786.5833333333334"/>
        <n v="1160.8333333333333"/>
        <n v="1808.6666666666667"/>
        <n v="2341.0"/>
        <n v="1116.25"/>
        <n v="976.5"/>
        <n v="1269.6666666666667"/>
        <n v="269.1666666666667"/>
        <n v="890.4166666666666"/>
        <n v="2214.0"/>
        <n v="2301.0"/>
        <n v="3197.75"/>
        <n v="2348.75"/>
        <n v="1662.25"/>
        <n v="2406.4166666666665"/>
        <n v="4874.0"/>
        <n v="5508.5"/>
        <n v="4228.25"/>
        <n v="5644.666666666667"/>
        <n v="6077.416666666667"/>
        <n v="3710.3333333333335"/>
        <n v="3621.0833333333335"/>
        <n v="1536.75"/>
        <n v="3328.5"/>
        <n v="2096.0"/>
        <n v="1709.4166666666667"/>
        <n v="2190.4166666666665"/>
        <n v="1403.4166666666667"/>
        <n v="2942.0"/>
        <n v="2511.9166666666665"/>
        <n v="1789.3333333333333"/>
        <n v="1528.0833333333333"/>
        <n v="1593.8333333333333"/>
        <n v="1360.1666666666667"/>
        <n v="623.5"/>
        <n v="3456.5833333333335"/>
        <n v="1448.1666666666667"/>
        <n v="5854.0"/>
        <n v="172.0"/>
        <n v="1071.9166666666667"/>
        <n v="559.25"/>
        <n v="321.5833333333333"/>
        <n v="934.4166666666666"/>
        <n v="403.9166666666667"/>
        <n v="1812.3333333333333"/>
        <n v="1820.5"/>
        <n v="1888.0"/>
        <n v="2021.0833333333333"/>
        <n v="246.66666666666666"/>
        <n v="1228.75"/>
        <n v="774.75"/>
        <n v="1307.5833333333333"/>
        <n v="235.0"/>
        <n v="980.6666666666666"/>
        <n v="265.4166666666667"/>
        <n v="1040.6666666666667"/>
        <n v="1503.3333333333333"/>
        <n v="1397.75"/>
        <n v="1629.25"/>
        <n v="879.9166666666666"/>
        <n v="690.75"/>
        <n v="3906.3333333333335"/>
        <n v="3795.75"/>
        <n v="5472.0"/>
        <n v="8786.75"/>
        <n v="3619.75"/>
        <n v="4896.5"/>
        <n v="5116.333333333333"/>
        <n v="5757.583333333333"/>
        <n v="3821.8333333333335"/>
        <n v="7763.666666666667"/>
        <n v="4198.833333333333"/>
        <n v="2184.4166666666665"/>
        <n v="6386.833333333333"/>
        <n v="2262.5833333333335"/>
        <n v="3110.75"/>
        <n v="2269.3333333333335"/>
        <n v="20334.0"/>
        <n v="1589.6666666666667"/>
        <n v="12875.5"/>
        <n v="12839.166666666666"/>
        <n v="514.0833333333334"/>
        <n v="1282.5"/>
        <n v="6991.333333333333"/>
        <n v="428.3333333333333"/>
        <n v="1252.9166666666667"/>
        <n v="6224.25"/>
        <n v="780.9166666666666"/>
        <n v="26768.166666666668"/>
        <n v="4594.916666666667"/>
        <n v="3943.5"/>
        <n v="15798.083333333334"/>
        <n v="7441.916666666667"/>
        <n v="315.5"/>
        <n v="762.1666666666666"/>
        <n v="12858.5"/>
        <n v="681.4166666666666"/>
        <n v="1494.3333333333333"/>
        <n v="6864.833333333333"/>
        <n v="381.0"/>
        <n v="807.5"/>
        <n v="5969.666666666667"/>
        <n v="240.66666666666666"/>
        <n v="553.8333333333334"/>
        <n v="17562.666666666668"/>
        <n v="1138.0"/>
        <n v="2033.3333333333333"/>
        <n v="5279.916666666667"/>
        <n v="214.5"/>
        <n v="550.9166666666666"/>
        <n v="6133.916666666667"/>
        <n v="4117.916666666667"/>
        <n v="682.9166666666666"/>
        <n v="4426.0"/>
        <n v="1151.25"/>
        <n v="8464.0"/>
        <n v="6607.5"/>
        <n v="3264.25"/>
        <n v="552.75"/>
        <n v="3125.75"/>
        <n v="1474.0"/>
        <n v="207.08333333333334"/>
        <n v="24435.916666666668"/>
        <n v="839.5833333333334"/>
        <n v="1923.8333333333333"/>
        <n v="1005.5"/>
        <n v="474.0"/>
        <n v="1701.6666666666667"/>
        <n v="738.25"/>
        <n v="1770.4166666666667"/>
        <n v="231.83333333333334"/>
        <n v="3170.5833333333335"/>
        <n v="2091.25"/>
        <n v="1365.4166666666667"/>
        <n v="271.5833333333333"/>
        <n v="3190.5833333333335"/>
        <n v="2285.0833333333335"/>
        <n v="1258.3333333333333"/>
        <n v="195.08333333333334"/>
        <n v="4228.583333333333"/>
        <n v="1868.1666666666667"/>
        <n v="246.58333333333334"/>
        <n v="1447.8333333333333"/>
        <n v="251.41666666666666"/>
        <n v="3423.25"/>
        <n v="2037.3333333333333"/>
        <n v="3836.9166666666665"/>
        <n v="1199.8333333333333"/>
        <n v="280.4166666666667"/>
        <n v="167.75"/>
        <n v="308.25"/>
        <n v="370.25"/>
        <n v="765.5833333333334"/>
        <n v="4198.666666666667"/>
        <n v="1702.6666666666667"/>
        <n v="3364.4166666666665"/>
        <n v="2830.9166666666665"/>
        <n v="3535.8333333333335"/>
        <n v="1462.0833333333333"/>
        <n v="2328.6666666666665"/>
        <n v="586.9166666666666"/>
        <n v="1104.3333333333333"/>
        <n v="1852.5"/>
        <n v="3302.25"/>
        <n v="1191.3333333333333"/>
        <n v="1225.0833333333333"/>
        <n v="155.08333333333334"/>
        <n v="141.75"/>
        <n v="257.0"/>
        <n v="261.4166666666667"/>
        <n v="320.5833333333333"/>
        <n v="197.33333333333334"/>
        <n v="126.25"/>
        <n v="168.08333333333334"/>
        <n v="2071.6666666666665"/>
        <n v="1073.5"/>
        <n v="962.5"/>
        <n v="737.1666666666666"/>
        <n v="710.5833333333334"/>
        <n v="417.5"/>
        <n v="673.1666666666666"/>
        <n v="1164.0833333333333"/>
        <n v="357.1666666666667"/>
        <n v="596.0833333333334"/>
        <n v="631.5833333333334"/>
        <n v="27763.166666666668"/>
        <n v="903.5833333333334"/>
        <n v="3789.75"/>
        <n v="27729.75"/>
        <n v="7171.583333333333"/>
        <n v="12194.833333333334"/>
        <n v="11685.833333333334"/>
        <n v="11591.0"/>
        <n v="2497.1666666666665"/>
        <n v="9375.5"/>
        <n v="8253.166666666666"/>
        <n v="6861.583333333333"/>
        <n v="11594.416666666666"/>
        <n v="7196.0"/>
        <n v="8394.25"/>
        <n v="5479.333333333333"/>
        <n v="7328.0"/>
        <n v="6103.0"/>
        <n v="10419.0"/>
        <n v="7059.083333333333"/>
        <n v="6885.666666666667"/>
        <n v="7357.666666666667"/>
        <n v="14198.916666666666"/>
        <n v="8757.166666666666"/>
        <n v="9407.5"/>
        <n v="7916.916666666667"/>
        <n v="4274.25"/>
        <n v="3710.25"/>
        <n v="2751.3333333333335"/>
        <n v="968.4166666666666"/>
        <n v="1811.1666666666667"/>
        <n v="1364.3333333333333"/>
        <n v="1864.3333333333333"/>
        <n v="1102.6666666666667"/>
        <n v="1748.5"/>
        <n v="1617.9166666666667"/>
        <n v="1501.0833333333333"/>
        <n v="12580.083333333334"/>
        <n v="7123.0"/>
        <n v="10567.0"/>
        <n v="9956.0"/>
        <n v="18861.166666666668"/>
        <n v="12705.416666666666"/>
        <n v="13264.5"/>
        <n v="9431.75"/>
        <n v="10552.166666666666"/>
        <n v="7360.666666666667"/>
        <n v="9177.583333333334"/>
        <n v="7366.166666666667"/>
        <n v="8650.5"/>
        <n v="7320.166666666667"/>
        <n v="5264.083333333333"/>
        <n v="9863.0"/>
        <n v="4070.6666666666665"/>
        <n v="3048.5833333333335"/>
        <n v="3208.8333333333335"/>
        <n v="2697.8333333333335"/>
        <n v="4782.166666666667"/>
        <n v="4246.25"/>
        <n v="8759.416666666666"/>
        <n v="9437.916666666666"/>
        <n v="4970.666666666667"/>
        <n v="12583.083333333334"/>
        <n v="14943.083333333334"/>
        <n v="10893.083333333334"/>
        <n v="7453.083333333333"/>
        <n v="3294.6666666666665"/>
        <n v="4365.666666666667"/>
        <n v="8383.666666666666"/>
        <n v="9217.333333333334"/>
        <n v="1909.75"/>
        <n v="2562.5"/>
        <n v="4934.083333333333"/>
        <n v="2505.9166666666665"/>
        <n v="2375.0"/>
        <n v="1172.0"/>
        <n v="263.25"/>
        <n v="762.0"/>
        <n v="552.9166666666666"/>
        <n v="1133.8333333333333"/>
        <n v="590.75"/>
        <n v="2784.3333333333335"/>
        <n v="4390.25"/>
        <n v="2546.0"/>
        <n v="2238.4166666666665"/>
        <n v="2534.0"/>
        <n v="6226.666666666667"/>
        <n v="3316.75"/>
        <n v="1925.0"/>
        <n v="5654.666666666667"/>
        <n v="3892.8333333333335"/>
        <n v="6229.833333333333"/>
        <n v="4317.5"/>
        <n v="5780.083333333333"/>
        <n v="4906.833333333333"/>
        <n v="1464.0833333333333"/>
        <n v="1293.0"/>
        <n v="1558.1666666666667"/>
        <n v="2599.5"/>
        <n v="421.5833333333333"/>
        <n v="399.8333333333333"/>
        <n v="421.5"/>
        <n v="277.1666666666667"/>
        <n v="702.8333333333334"/>
        <n v="3247.75"/>
        <n v="705.9166666666666"/>
        <n v="568.3333333333334"/>
        <n v="1562.5833333333333"/>
        <n v="780.8333333333334"/>
        <n v="1235.0"/>
        <n v="806.3333333333334"/>
        <n v="2516.3333333333335"/>
        <n v="3526.75"/>
        <n v="4273.333333333333"/>
        <n v="1371.0"/>
        <n v="412.9166666666667"/>
        <n v="3197.25"/>
        <n v="3800.5"/>
        <n v="3163.8333333333335"/>
        <n v="288.25"/>
        <n v="2853.3333333333335"/>
        <n v="962.0"/>
        <n v="2940.5"/>
        <n v="1436.5"/>
        <n v="3124.5"/>
        <n v="1387.75"/>
        <n v="1306.0"/>
        <n v="1584.5833333333333"/>
        <n v="530.8333333333334"/>
        <n v="1286.6666666666667"/>
        <n v="815.9166666666666"/>
        <n v="280.1666666666667"/>
        <n v="947.75"/>
        <n v="219.5"/>
        <n v="438.6666666666667"/>
        <n v="656.9166666666666"/>
        <n v="1713.75"/>
        <n v="3652.8333333333335"/>
        <n v="3949.8333333333335"/>
        <n v="8194.833333333334"/>
        <n v="9010.416666666666"/>
        <n v="4593.083333333333"/>
        <n v="4226.666666666667"/>
        <n v="1998.5"/>
        <n v="10014.833333333334"/>
        <n v="6493.333333333333"/>
        <n v="4757.583333333333"/>
        <n v="15064.583333333334"/>
        <n v="337442.0916666667"/>
        <n v="26458.333333333332"/>
        <n v="7790.166666666667"/>
        <n v="183.0"/>
        <n v="14.666666666666666"/>
        <n v="285.4166666666667"/>
        <n v="14.75"/>
        <n v="203653.91666666666"/>
        <n v="248654.5"/>
        <n v="50814.583333333336"/>
        <n v="217952.08333333334"/>
        <n v="17106.25"/>
        <n v="9505.916666666666"/>
        <n v="4792.333333333333"/>
        <n v="4633.833333333333"/>
        <n v="4174.583333333333"/>
        <n v="4049.3333333333335"/>
        <n v="6985.166666666667"/>
        <n v="8565.25"/>
        <n v="4577.166666666667"/>
        <n v="6315.75"/>
        <n v="4760.583333333333"/>
        <n v="4218.083333333333"/>
        <n v="3920.0"/>
        <n v="4781.166666666667"/>
        <n v="3516.3333333333335"/>
        <n v="5383.333333333333"/>
        <n v="3676.0"/>
        <n v="4837.083333333333"/>
        <n v="4130.25"/>
        <n v="4839.833333333333"/>
        <n v="653.6666666666666"/>
        <n v="5244.083333333333"/>
        <n v="21205.75"/>
        <n v="714.1666666666666"/>
        <n v="3602.1666666666665"/>
        <n v="15416.833333333334"/>
        <n v="609.8333333333334"/>
        <n v="2724.75"/>
        <n v="6120.0"/>
        <n v="759.0"/>
        <n v="4848.0"/>
        <n v="29264.416666666668"/>
        <n v="1145.25"/>
        <n v="5345.916666666667"/>
        <n v="33004.75"/>
        <n v="931.8333333333334"/>
        <n v="4733.25"/>
        <n v="11714.083333333334"/>
        <n v="373.5833333333333"/>
        <n v="1730.5833333333333"/>
        <n v="10332.666666666666"/>
        <n v="345.1666666666667"/>
        <n v="1406.1666666666667"/>
        <n v="12198.0"/>
        <n v="450.0"/>
        <n v="2608.1666666666665"/>
        <n v="10709.5"/>
        <n v="1295.0"/>
        <n v="10829.833333333334"/>
        <n v="13615.333333333334"/>
        <n v="2449.0"/>
        <n v="10570.25"/>
        <n v="3653.4166666666665"/>
        <n v="671.75"/>
        <n v="3361.0833333333335"/>
        <n v="3678.9166666666665"/>
        <n v="381.25"/>
        <n v="2809.3333333333335"/>
        <n v="6905.833333333333"/>
        <n v="610.9166666666666"/>
        <n v="4119.333333333333"/>
        <n v="4400.333333333333"/>
        <n v="463.9166666666667"/>
        <n v="2592.5833333333335"/>
        <n v="6658.583333333333"/>
        <n v="538.6666666666666"/>
        <n v="4675.166666666667"/>
        <n v="4165.5"/>
        <n v="549.5"/>
        <n v="4023.5"/>
        <n v="193.16666666666666"/>
        <n v="465.5"/>
        <n v="6326.25"/>
        <n v="665.5"/>
        <n v="3021.0833333333335"/>
        <n v="6386.5"/>
        <n v="755.5833333333334"/>
        <n v="3265.0"/>
        <n v="4067.9166666666665"/>
        <n v="216.66666666666666"/>
        <n v="533.25"/>
        <n v="2483.25"/>
        <n v="112.83333333333333"/>
        <n v="379.6666666666667"/>
        <n v="2500.8333333333335"/>
        <n v="331.5"/>
        <n v="1810.0"/>
        <n v="4593.166666666667"/>
        <n v="532.3333333333334"/>
        <n v="1936.0833333333333"/>
        <n v="13989.416666666666"/>
        <n v="510.5833333333333"/>
        <n v="1306.0833333333333"/>
        <n v="4908.916666666667"/>
        <n v="231.16666666666666"/>
        <n v="572.9166666666666"/>
        <n v="6620.583333333333"/>
        <n v="314.9166666666667"/>
        <n v="764.4166666666666"/>
        <n v="5810.25"/>
        <n v="229.0"/>
        <n v="669.5"/>
        <n v="835.1666666666666"/>
        <n v="11343.75"/>
        <n v="1841.4166666666667"/>
        <n v="6169.75"/>
        <n v="5221.916666666667"/>
        <n v="1092.3333333333333"/>
        <n v="4926.916666666667"/>
        <n v="3501.3333333333335"/>
        <n v="569.9166666666666"/>
        <n v="3716.75"/>
        <n v="6892.25"/>
        <n v="4845.666666666667"/>
        <n v="5286.75"/>
        <n v="923.5"/>
        <n v="5704.666666666667"/>
        <n v="2244.9166666666665"/>
        <n v="3581.0833333333335"/>
        <n v="5359.333333333333"/>
        <n v="3813.1666666666665"/>
        <n v="11640.833333333334"/>
        <n v="4132.25"/>
        <n v="1603.3333333333333"/>
        <n v="3910.0"/>
        <n v="8818.75"/>
        <n v="5315.333333333333"/>
        <n v="7620.5"/>
        <n v="4114.25"/>
        <n v="6765.583333333333"/>
        <n v="347.0833333333333"/>
        <n v="1189.1666666666667"/>
        <n v="14469.583333333334"/>
        <n v="443.8333333333333"/>
        <n v="2675.6666666666665"/>
        <n v="5754.833333333333"/>
        <n v="282.4166666666667"/>
        <n v="7414.666666666667"/>
        <n v="289.0833333333333"/>
        <n v="1003.75"/>
        <n v="6507.833333333333"/>
        <n v="167.5"/>
        <n v="931.75"/>
        <n v="6000.333333333333"/>
        <n v="323.25"/>
        <n v="1181.75"/>
        <n v="6789.75"/>
        <n v="170.25"/>
        <n v="894.8333333333334"/>
        <n v="4512.25"/>
        <n v="127.0"/>
        <n v="452.1666666666667"/>
        <n v="1947.6666666666667"/>
        <n v="149.33333333333334"/>
        <n v="346.4166666666667"/>
        <n v="2245.0833333333335"/>
        <n v="120.83333333333333"/>
        <n v="343.25"/>
        <n v="1498.5833333333333"/>
        <n v="240.08333333333334"/>
        <n v="1744.25"/>
        <n v="86.58333333333333"/>
        <n v="4057.4166666666665"/>
        <n v="4874.166666666667"/>
        <n v="8285.666666666666"/>
        <n v="10194.5"/>
        <n v="13811.5"/>
        <n v="6716.25"/>
        <n v="3623.75"/>
        <n v="4243.666666666667"/>
        <n v="4725.333333333333"/>
        <n v="928.9166666666666"/>
        <n v="393.9166666666667"/>
        <n v="853.1666666666666"/>
        <n v="6398.75"/>
        <n v="2120.8333333333335"/>
        <n v="2526.8333333333335"/>
        <n v="6363.75"/>
        <n v="7770.666666666667"/>
        <n v="4016.0"/>
        <n v="4496.25"/>
        <n v="5310.666666666667"/>
        <n v="4591.25"/>
        <n v="2190.8333333333335"/>
        <n v="2723.0833333333335"/>
        <n v="3684.9166666666665"/>
        <n v="2583.6666666666665"/>
        <n v="2777.5"/>
        <n v="3582.0"/>
        <n v="2534.1666666666665"/>
        <n v="1689.0"/>
        <n v="2048.1666666666665"/>
        <n v="1480.3333333333333"/>
        <n v="350.0833333333333"/>
        <n v="276.8333333333333"/>
        <n v="579.5"/>
        <n v="425.0833333333333"/>
        <n v="471.5833333333333"/>
        <n v="245.25"/>
        <n v="615.9166666666666"/>
        <n v="658.9166666666666"/>
        <n v="1435.0"/>
        <n v="1091.6666666666667"/>
        <n v="493.1666666666667"/>
        <n v="513.5833333333334"/>
        <n v="1030.5"/>
        <n v="992.8333333333334"/>
        <n v="993.4166666666666"/>
        <n v="507.0833333333333"/>
        <n v="533.5"/>
        <n v="657.8333333333334"/>
        <n v="425.3333333333333"/>
        <n v="345.0"/>
        <n v="292.0833333333333"/>
        <n v="159.75"/>
        <n v="318.6666666666667"/>
        <n v="223.16666666666666"/>
        <n v="340.0833333333333"/>
        <n v="193.08333333333334"/>
        <n v="148.41666666666666"/>
        <n v="117.41666666666667"/>
        <n v="352.8333333333333"/>
        <n v="261.25"/>
        <n v="72.75"/>
        <n v="181.41666666666666"/>
        <n v="71.83333333333333"/>
        <n v="115.83333333333333"/>
        <n v="114.75"/>
        <n v="156.08333333333334"/>
        <n v="22.583333333333332"/>
        <n v="57.166666666666664"/>
        <n v="79.25"/>
        <n v="243.5"/>
        <n v="86.5"/>
        <n v="197.41666666666666"/>
        <n v="204.83333333333334"/>
        <n v="110.91666666666667"/>
        <n v="715.0833333333334"/>
        <n v="850.1666666666666"/>
        <n v="1178.0833333333333"/>
        <n v="1332.1666666666667"/>
        <n v="1392.5833333333333"/>
        <n v="526.1666666666666"/>
        <n v="248.25"/>
        <n v="286.6666666666667"/>
        <n v="125.75"/>
        <n v="424.75"/>
        <n v="198.33333333333334"/>
        <n v="194.58333333333334"/>
        <n v="191.75"/>
        <n v="202.33333333333334"/>
        <n v="274.8333333333333"/>
        <n v="317.8333333333333"/>
        <n v="249.16666666666666"/>
        <n v="359.4166666666667"/>
        <n v="80.75"/>
        <n v="450.6666666666667"/>
        <n v="300.1666666666667"/>
        <n v="515.8333333333334"/>
        <n v="1684.0"/>
        <n v="396.0833333333333"/>
        <n v="306.3333333333333"/>
        <n v="454.6666666666667"/>
        <n v="676.3333333333334"/>
        <n v="47137.5"/>
        <n v="1629.1666666666667"/>
        <n v="1121.75"/>
        <n v="35687.833333333336"/>
        <n v="1628.5833333333333"/>
        <n v="6956.083333333333"/>
        <n v="24349.5"/>
        <n v="1258.5833333333333"/>
        <n v="4328.916666666667"/>
        <n v="33922.083333333336"/>
        <n v="1455.5"/>
        <n v="6412.5"/>
        <n v="19166.833333333332"/>
        <n v="807.75"/>
        <n v="3195.9166666666665"/>
        <n v="18868.083333333332"/>
        <n v="3475.0833333333335"/>
        <n v="12937.833333333334"/>
        <n v="7556.666666666667"/>
        <n v="1161.1666666666667"/>
        <n v="6568.583333333333"/>
        <n v="9726.166666666666"/>
        <n v="1851.75"/>
        <n v="8726.166666666666"/>
        <n v="10442.25"/>
        <n v="1458.5"/>
        <n v="7483.5"/>
        <n v="8486.583333333334"/>
        <n v="1320.4166666666667"/>
        <n v="6988.5"/>
        <n v="14066.333333333334"/>
        <n v="2637.9166666666665"/>
        <n v="9618.416666666666"/>
        <n v="3037.25"/>
        <n v="658.5833333333334"/>
        <n v="4152.916666666667"/>
        <n v="4232.416666666667"/>
        <n v="917.5833333333334"/>
        <n v="4257.083333333333"/>
        <n v="9725.333333333334"/>
        <n v="1488.4166666666667"/>
        <n v="6533.75"/>
        <n v="8529.666666666666"/>
        <n v="1022.0"/>
        <n v="7254.75"/>
        <n v="5257.75"/>
        <n v="461.25"/>
        <n v="4912.083333333333"/>
        <n v="3098.5833333333335"/>
        <n v="471.75"/>
        <n v="2666.3333333333335"/>
        <n v="5209.583333333333"/>
        <n v="687.6666666666666"/>
        <n v="4757.833333333333"/>
        <n v="4480.5"/>
        <n v="351.8333333333333"/>
        <n v="4237.916666666667"/>
        <n v="4472.333333333333"/>
        <n v="315.75"/>
        <n v="2910.25"/>
        <n v="90079.16666666667"/>
        <n v="20083.333333333332"/>
        <n v="10078.333333333334"/>
        <n v="11514.25"/>
        <n v="520.5"/>
        <n v="2161.9166666666665"/>
        <n v="4869.0"/>
        <n v="937.25"/>
        <n v="24113.333333333332"/>
        <n v="734.3333333333334"/>
        <n v="4795.25"/>
        <n v="3917.75"/>
        <n v="517.4166666666666"/>
        <n v="3372.4166666666665"/>
        <n v="3653.0833333333335"/>
        <n v="645.4166666666666"/>
        <n v="3214.75"/>
        <n v="3495.25"/>
        <n v="475.3333333333333"/>
        <n v="3143.75"/>
        <n v="8206.916666666666"/>
        <n v="966.75"/>
        <n v="8720.416666666666"/>
        <n v="847.5"/>
        <n v="94.41666666666667"/>
        <n v="547.0"/>
        <n v="3956.3333333333335"/>
        <n v="808.8333333333334"/>
        <n v="3167.75"/>
        <n v="5348.083333333333"/>
        <n v="448.25"/>
        <n v="3020.25"/>
        <n v="106.83333333333333"/>
        <n v="342.0"/>
        <n v="3099.3333333333335"/>
        <n v="2731.75"/>
        <n v="3098.25"/>
        <n v="6941.25"/>
        <n v="5744.5"/>
        <n v="6914.916666666667"/>
        <n v="6058.083333333333"/>
        <n v="6714.5"/>
        <n v="3707.4166666666665"/>
        <n v="1107.8333333333333"/>
        <n v="4568.833333333333"/>
        <n v="3203.75"/>
        <n v="1470.3333333333333"/>
        <n v="3078.1666666666665"/>
        <n v="1702.0833333333333"/>
        <n v="150.25"/>
        <n v="1466.5833333333333"/>
        <n v="1376.8333333333333"/>
        <n v="64.5"/>
        <n v="1190.8333333333333"/>
        <n v="65.25"/>
        <n v="1337.5833333333333"/>
        <n v="2326.75"/>
        <n v="142.83333333333334"/>
        <n v="1313.5833333333333"/>
        <n v="3484.1666666666665"/>
        <n v="3544.0"/>
        <n v="5419.666666666667"/>
        <n v="3968.75"/>
        <n v="5314.083333333333"/>
        <n v="6439.0"/>
        <n v="5288.916666666667"/>
        <n v="5585.25"/>
        <n v="2210.3333333333335"/>
        <n v="314.5833333333333"/>
        <n v="1142.5833333333333"/>
        <n v="1776.0"/>
        <n v="9732.083333333334"/>
        <n v="8587.25"/>
        <n v="12024.75"/>
        <n v="6164.25"/>
        <n v="16574.083333333332"/>
        <n v="9032.333333333334"/>
        <n v="2279.0"/>
        <n v="1911.3333333333333"/>
        <n v="4035.75"/>
        <n v="3684.6666666666665"/>
        <n v="5301.25"/>
        <n v="3639.5833333333335"/>
        <n v="4557.75"/>
        <n v="4108.25"/>
        <n v="82066.33333333333"/>
        <n v="312.3333333333333"/>
        <n v="4450.416666666667"/>
        <n v="517.1666666666666"/>
        <n v="5171.0"/>
        <n v="74586.25"/>
        <n v="381.3333333333333"/>
        <n v="3756.3333333333335"/>
        <n v="752.1666666666666"/>
        <n v="6934.0"/>
        <n v="31251.583333333332"/>
        <n v="1010.5833333333334"/>
        <n v="5201.333333333333"/>
        <n v="19345.5"/>
        <n v="425.5"/>
        <n v="2329.0"/>
        <n v="32050.166666666668"/>
        <n v="797.6666666666666"/>
        <n v="4890.833333333333"/>
        <n v="2985.75"/>
        <n v="424.25"/>
        <n v="12015.0"/>
        <n v="1569.75"/>
        <n v="11769.0"/>
        <n v="1493.5"/>
        <n v="223.33333333333334"/>
        <n v="290.6666666666667"/>
        <n v="12454.916666666666"/>
        <n v="2068.1666666666665"/>
        <n v="6321.833333333333"/>
        <n v="1012.9166666666666"/>
        <n v="382.9166666666667"/>
        <n v="638.8333333333334"/>
        <n v="406.9166666666667"/>
        <n v="218.25"/>
        <n v="781.0833333333334"/>
        <n v="1148.1666666666667"/>
        <n v="802.8333333333334"/>
        <n v="473.75"/>
        <n v="7210.083333333333"/>
        <n v="11061.0"/>
        <n v="10692.583333333334"/>
        <n v="22345.25"/>
        <n v="2518.1666666666665"/>
        <n v="3159.0"/>
        <n v="6866.083333333333"/>
        <n v="1703.9166666666667"/>
        <n v="9315.75"/>
        <n v="29508.166666666668"/>
        <n v="5104.333333333333"/>
        <n v="7147.916666666667"/>
        <n v="4618.083333333333"/>
        <n v="1202.9166666666667"/>
        <n v="10472.0"/>
        <n v="3849.4166666666665"/>
        <n v="3404.3333333333335"/>
        <n v="10905.083333333334"/>
        <n v="7639.333333333333"/>
        <n v="15245.25"/>
        <n v="5486.583333333333"/>
        <n v="3516.0"/>
        <n v="3393.0833333333335"/>
        <n v="2400.0"/>
        <n v="7874.75"/>
        <n v="3216.5833333333335"/>
        <n v="4726.25"/>
        <n v="5374.416666666667"/>
        <n v="3720.0833333333335"/>
        <n v="2410.0"/>
        <n v="3045.6666666666665"/>
        <n v="11396.25"/>
        <n v="6736.416666666667"/>
        <n v="6156.083333333333"/>
        <n v="16306.5"/>
        <n v="12398.25"/>
        <n v="924.0833333333334"/>
        <n v="1070.5833333333333"/>
        <n v="763.25"/>
        <n v="1377.0"/>
        <n v="2537.9166666666665"/>
        <n v="1789.5833333333333"/>
        <n v="1989.3333333333333"/>
        <n v="1212.8333333333333"/>
        <n v="1995.0"/>
        <n v="731.0"/>
        <n v="3206.5833333333335"/>
        <n v="5624.166666666667"/>
        <n v="4119.5"/>
        <n v="6342.166666666667"/>
        <n v="10615.0"/>
        <n v="6783.75"/>
        <n v="225.91666666666666"/>
        <n v="128.91666666666666"/>
      </sharedItems>
    </cacheField>
    <cacheField name="Độ lệch rủi ro" numFmtId="0">
      <sharedItems containsSemiMixedTypes="0" containsString="0" containsNumber="1">
        <n v="69.33333333333333"/>
        <n v="122.48888888888891"/>
        <n v="1016.8888888888889"/>
        <n v="46.22222222222222"/>
        <n v="330.20000000000005"/>
        <n v="10.4"/>
        <n v="32.93333333333334"/>
        <n v="197.60000000000002"/>
        <n v="23.97777777777778"/>
        <n v="287.44444444444446"/>
        <n v="22.822222222222223"/>
        <n v="495.15555555555557"/>
        <n v="959.6888888888891"/>
        <n v="10.11111111111111"/>
        <n v="300.15555555555557"/>
        <n v="102.26666666666665"/>
        <n v="462.22222222222223"/>
        <n v="184.88888888888889"/>
        <n v="600.8888888888889"/>
        <n v="92.44444444444444"/>
        <n v="121.33333333333334"/>
        <n v="155.13333333333335"/>
        <n v="277.3333333333333"/>
        <n v="6240.0"/>
        <n v="416.0"/>
        <n v="693.3333333333333"/>
        <n v="1231.8222222222223"/>
        <n v="208.0"/>
        <n v="406.7555555555556"/>
        <n v="1754.1333333333337"/>
        <n v="425.2444444444445"/>
        <n v="792.7111111111112"/>
        <n v="367.4666666666667"/>
        <n v="530.4000000000001"/>
        <n v="1008.8000000000002"/>
        <n v="684.088888888889"/>
        <n v="832.0"/>
        <n v="254.22222222222223"/>
        <n v="1090.8444444444444"/>
        <n v="83.2"/>
        <n v="878.2222222222222"/>
        <n v="145.60000000000002"/>
        <n v="464.5333333333334"/>
        <n v="147.91111111111113"/>
        <n v="596.2666666666667"/>
        <n v="23.11111111111111"/>
        <n v="4.622222222222223"/>
        <n v="99.66666666666666"/>
        <n v="88.4"/>
        <n v="37.266666666666666"/>
        <n v="27.73333333333334"/>
        <n v="341.4666666666667"/>
        <n v="36.400000000000006"/>
        <n v="2.6"/>
        <n v="26.577777777777783"/>
        <n v="2.888888888888889"/>
        <n v="9.822222222222223"/>
        <n v="173.33333333333331"/>
        <n v="16.17777777777778"/>
        <n v="104.0"/>
        <n v="1340.4444444444443"/>
        <n v="562.7555555555556"/>
        <n v="1539.2000000000003"/>
        <n v="1386.6666666666665"/>
        <n v="290.0444444444445"/>
        <n v="1553.0666666666666"/>
        <n v="665.6"/>
        <n v="998.4000000000001"/>
        <n v="221.86666666666673"/>
        <n v="62.400000000000006"/>
        <n v="0.8666666666666669"/>
        <n v="433.33333333333337"/>
        <n v="36.111111111111114"/>
        <n v="17.333333333333332"/>
        <n v="40.44444444444444"/>
        <n v="5.2"/>
        <n v="288.8888888888889"/>
        <n v="34.95555555555556"/>
        <n v="5.488888888888889"/>
        <n v="29.177777777777784"/>
        <n v="244.97777777777782"/>
        <n v="2.3111111111111113"/>
        <n v="88.97777777777779"/>
        <n v="84.06666666666666"/>
        <n v="44.2"/>
        <n v="101.6888888888889"/>
        <n v="443.73333333333346"/>
        <n v="143.2888888888889"/>
        <n v="30.911111111111115"/>
        <n v="1220.2666666666669"/>
        <n v="1774.9333333333338"/>
        <n v="136.06666666666666"/>
        <n v="284.2666666666667"/>
        <n v="227.06666666666672"/>
        <n v="322.1111111111111"/>
        <n v="503.82222222222225"/>
        <n v="1375.111111111111"/>
        <n v="1153.2444444444445"/>
        <n v="281.9555555555556"/>
        <n v="506.13333333333344"/>
        <n v="3445.866666666667"/>
        <n v="2355.0222222222224"/>
        <n v="1370.488888888889"/>
        <n v="785.7777777777778"/>
        <n v="272.7111111111111"/>
        <n v="1391.288888888889"/>
        <n v="332.8"/>
        <n v="168.71111111111114"/>
        <n v="180.2666666666667"/>
        <n v="1156.7111111111112"/>
        <n v="639.0222222222224"/>
        <n v="78.57777777777778"/>
        <n v="123.64444444444446"/>
        <n v="369.77777777777777"/>
        <n v="71.64444444444445"/>
        <n v="246.13333333333333"/>
        <n v="743.6000000000001"/>
        <n v="356.20000000000005"/>
        <n v="97.93333333333334"/>
        <n v="77.13333333333334"/>
        <n v="46.8"/>
        <n v="217.5333333333333"/>
        <n v="99.37777777777777"/>
        <n v="97.06666666666666"/>
        <n v="138.66666666666666"/>
        <n v="57.77777777777778"/>
        <n v="1224.888888888889"/>
        <n v="67.02222222222224"/>
        <n v="450.66666666666663"/>
        <n v="198.75555555555553"/>
        <n v="889.7777777777778"/>
        <n v="624.0"/>
        <n v="751.1111111111111"/>
        <n v="224.1777777777778"/>
        <n v="1123.2"/>
        <n v="279.6444444444445"/>
        <n v="769.6000000000001"/>
        <n v="9.244444444444445"/>
        <n v="702.5777777777778"/>
        <n v="140.9777777777778"/>
        <n v="1026.1333333333334"/>
        <n v="6.644444444444446"/>
        <n v="825.0666666666668"/>
        <n v="563.9111111111112"/>
        <n v="422.9333333333334"/>
        <n v="166.4"/>
        <n v="339.73333333333335"/>
        <n v="196.44444444444446"/>
        <n v="63.55555555555556"/>
        <n v="131.73333333333335"/>
        <n v="90.13333333333335"/>
        <n v="79.73333333333333"/>
        <n v="113.24444444444445"/>
        <n v="61.53333333333333"/>
        <n v="563.3333333333334"/>
        <n v="107.46666666666667"/>
        <n v="55.46666666666668"/>
        <n v="29.46666666666667"/>
        <n v="45.93333333333334"/>
        <n v="670.2222222222222"/>
        <n v="11.555555555555555"/>
        <n v="993.7777777777778"/>
        <n v="13.86666666666667"/>
        <n v="293.5111111111112"/>
        <n v="1000.7111111111112"/>
        <n v="309.68888888888887"/>
        <n v="716.4444444444445"/>
        <n v="362.8444444444445"/>
        <n v="275.02222222222224"/>
        <n v="300.44444444444446"/>
        <n v="43.91111111111111"/>
        <n v="834.3111111111111"/>
        <n v="152.53333333333336"/>
        <n v="41.6"/>
        <n v="214.93333333333334"/>
        <n v="275.6"/>
        <n v="633.2444444444445"/>
        <n v="776.5333333333333"/>
        <n v="1263.0222222222224"/>
        <n v="1808.4444444444443"/>
        <n v="707.2"/>
        <n v="322.40000000000003"/>
        <n v="159.46666666666667"/>
        <n v="129.42222222222225"/>
        <n v="607.8222222222223"/>
        <n v="827.377777777778"/>
        <n v="373.2444444444445"/>
        <n v="15.311111111111114"/>
        <n v="204.82222222222225"/>
        <n v="104.28888888888889"/>
        <n v="140.6888888888889"/>
        <n v="38.13333333333334"/>
        <n v="262.31111111111113"/>
        <n v="3.4666666666666677"/>
        <n v="35.53333333333334"/>
        <n v="65.28888888888889"/>
        <n v="613.6"/>
        <n v="500.3555555555556"/>
        <n v="6354.4"/>
        <n v="691.0222222222224"/>
        <n v="3963.5555555555557"/>
        <n v="446.0444444444445"/>
        <n v="1918.5111111111112"/>
        <n v="3909.5333333333338"/>
        <n v="1910.7111111111114"/>
        <n v="2522.2888888888892"/>
        <n v="977.0222222222224"/>
        <n v="1.7333333333333338"/>
        <n v="6.933333333333335"/>
        <n v="44.77777777777778"/>
        <n v="40.73333333333334"/>
        <n v="157.73333333333335"/>
        <n v="340.02222222222224"/>
        <n v="183.44444444444446"/>
        <n v="169.57777777777778"/>
        <n v="361.68888888888887"/>
        <n v="312.0"/>
        <n v="198.4666666666667"/>
        <n v="373.82222222222225"/>
        <n v="263.1777777777778"/>
        <n v="2142.4"/>
        <n v="115.55555555555556"/>
        <n v="554.6666666666666"/>
        <n v="2218.6666666666665"/>
        <n v="924.4444444444445"/>
        <n v="4291.733333333334"/>
        <n v="667.9111111111112"/>
        <n v="7.222222222222222"/>
        <n v="400.1111111111111"/>
        <n v="130.0"/>
        <n v="231.11111111111111"/>
        <n v="188.64444444444445"/>
        <n v="79.15555555555557"/>
        <n v="274.73333333333335"/>
        <n v="78038.73015873015"/>
        <n v="75892.93952380956"/>
        <n v="29181.5873015873"/>
        <n v="19441.825396825392"/>
        <n v="16941.666666666668"/>
        <n v="16136.428571428572"/>
        <n v="13177.857142857145"/>
        <n v="10180.62222222222"/>
        <n v="9112.641269841268"/>
        <n v="7923.241269841266"/>
        <n v="7081.571428571431"/>
        <n v="6597.523809523807"/>
        <n v="5216.43492063492"/>
        <n v="5204.250793650794"/>
        <n v="4964.006349206349"/>
        <n v="4130.298412698411"/>
        <n v="3902.901587301588"/>
        <n v="3849.1587301587288"/>
        <n v="3751.746031746032"/>
        <n v="3709.282539682539"/>
        <n v="3668.447619047617"/>
        <n v="3511.7428571428554"/>
        <n v="3472.47619047619"/>
        <n v="3396.95873015873"/>
        <n v="3317.1587301587306"/>
        <n v="3253.765079365079"/>
        <n v="3197.730158730158"/>
        <n v="3189.587301587301"/>
        <n v="3002.361904761904"/>
        <n v="2924.552380952381"/>
        <n v="2923.707936507937"/>
        <n v="2857.4793650793645"/>
        <n v="2736.96507936508"/>
        <n v="2635.390476190475"/>
        <n v="2611.9269841269834"/>
        <n v="2580.984126984127"/>
        <n v="2542.8634920634913"/>
        <n v="2499.977777777777"/>
        <n v="2492.619047619047"/>
        <n v="2456.5492063492056"/>
        <n v="2439.4793650793645"/>
        <n v="2373.673015873016"/>
        <n v="2364.9873015873018"/>
        <n v="2340.3174603174602"/>
        <n v="2326.384126984127"/>
        <n v="2307.022222222223"/>
        <n v="2304.971428571428"/>
        <n v="2296.5269841269837"/>
        <n v="2262.2666666666664"/>
        <n v="2254.184126984127"/>
        <n v="2228.730158730158"/>
        <n v="2191.0317460317465"/>
        <n v="2151.7650793650796"/>
        <n v="2120.5809523809526"/>
        <n v="2038.8507936507935"/>
        <n v="2014.9650793650794"/>
        <n v="1967.0126984126982"/>
        <n v="1932.5714285714284"/>
        <n v="1875.511111111111"/>
        <n v="1840.7079365079358"/>
        <n v="1815.8571428571422"/>
        <n v="1775.6857142857143"/>
        <n v="1707.7079365079358"/>
        <n v="1682.6158730158731"/>
        <n v="1675.0761904761907"/>
        <n v="1662.1079365079363"/>
        <n v="1661.6857142857143"/>
        <n v="1637.1365079365082"/>
        <n v="1634.0603174603175"/>
        <n v="1620.6698412698415"/>
        <n v="1608.787301587301"/>
        <n v="1554.9841269841263"/>
        <n v="1539.180952380952"/>
        <n v="1537.3714285714286"/>
        <n v="1534.596825396825"/>
        <n v="1517.4666666666667"/>
        <n v="1511.9777777777776"/>
        <n v="1495.933333333333"/>
        <n v="1494.184126984127"/>
        <n v="1488.212698412698"/>
        <n v="1474.279365079365"/>
        <n v="1471.2634920634914"/>
        <n v="1467.8857142857141"/>
        <n v="1466.3174603174593"/>
        <n v="1417.6412698412696"/>
        <n v="1401.2952380952374"/>
        <n v="1396.2285714285708"/>
        <n v="1395.6857142857139"/>
        <n v="1386.0349206349206"/>
        <n v="1384.1650793650792"/>
        <n v="1380.0634920634916"/>
        <n v="1375.057142857143"/>
        <n v="1346.3460317460313"/>
        <n v="1321.0126984126982"/>
        <n v="1297.0666666666662"/>
        <n v="1274.2666666666664"/>
        <n v="1256.9555555555557"/>
        <n v="1238.4984126984127"/>
        <n v="1227.580952380952"/>
        <n v="1223.9619047619044"/>
        <n v="1203.936507936508"/>
        <n v="1188.1333333333332"/>
        <n v="1166.7809523809524"/>
        <n v="1161.1714285714288"/>
        <n v="1150.7365079365081"/>
        <n v="1130.9523809523807"/>
        <n v="1129.8063492063488"/>
        <n v="1124.9809523809522"/>
        <n v="1092.4698412698413"/>
        <n v="1079.68253968254"/>
        <n v="1078.6571428571428"/>
        <n v="1074.495238095238"/>
        <n v="1064.422222222222"/>
        <n v="1056.4"/>
        <n v="1053.6857142857139"/>
        <n v="1051.2730158730155"/>
        <n v="1049.1619047619045"/>
        <n v="1047.4730158730154"/>
        <n v="1046.206349206349"/>
        <n v="1032.2126984126985"/>
        <n v="1027.6888888888886"/>
        <n v="1024.431746031746"/>
        <n v="1008.0253968253967"/>
        <n v="1004.7682539682539"/>
        <n v="1000.485714285714"/>
        <n v="998.0730158730153"/>
        <n v="983.0539682539682"/>
        <n v="981.3047619047618"/>
        <n v="980.8222222222221"/>
        <n v="976.9619047619042"/>
        <n v="975.815873015873"/>
        <n v="973.0412698412697"/>
        <n v="965.7428571428568"/>
        <n v="956.9968253968252"/>
        <n v="951.8095238095236"/>
        <n v="948.4317460317459"/>
        <n v="938.0571428571429"/>
        <n v="932.8095238095236"/>
        <n v="930.8190476190473"/>
        <n v="924.2444444444441"/>
        <n v="916.3428571428572"/>
        <n v="913.1460317460317"/>
        <n v="908.68253968254"/>
        <n v="900.0571428571429"/>
        <n v="899.936507936508"/>
        <n v="898.8507936507931"/>
        <n v="892.0349206349206"/>
        <n v="879.8507936507931"/>
        <n v="877.4984126984127"/>
        <n v="841.9714285714285"/>
        <n v="839.4984126984127"/>
        <n v="833.2857142857142"/>
        <n v="822.7301587301586"/>
        <n v="817.0603174603173"/>
        <n v="804.1523809523812"/>
        <n v="797.457142857143"/>
        <n v="794.2603174603175"/>
        <n v="792.7523809523811"/>
        <n v="776.5269841269842"/>
        <n v="776.1047619047615"/>
        <n v="775.4412698412698"/>
        <n v="773.5714285714284"/>
        <n v="768.9873015873013"/>
        <n v="760.301587301587"/>
        <n v="755.5365079365079"/>
        <n v="745.3428571428572"/>
        <n v="739.4920634920632"/>
        <n v="739.1904761904759"/>
        <n v="737.6825396825395"/>
        <n v="737.0190476190476"/>
        <n v="732.1936507936507"/>
        <n v="727.3079365079366"/>
        <n v="723.3873015873014"/>
        <n v="720.7333333333333"/>
        <n v="711.6253968253966"/>
        <n v="710.4190476190477"/>
        <n v="706.4984126984127"/>
        <n v="701.9746031746033"/>
        <n v="690.9968253968254"/>
        <n v="681.3460317460317"/>
        <n v="680.6825396825395"/>
        <n v="678.2698412698412"/>
        <n v="676.8825396825396"/>
        <n v="675.4349206349207"/>
        <n v="674.6507936507935"/>
        <n v="673.2031746031744"/>
        <n v="673.1428571428569"/>
        <n v="669.1619047619047"/>
        <n v="668.3777777777777"/>
        <n v="659.5714285714284"/>
        <n v="658.726984126984"/>
        <n v="656.1333333333332"/>
        <n v="646.542857142857"/>
        <n v="646.1206349206348"/>
        <n v="645.3365079365078"/>
        <n v="641.7174603174603"/>
        <n v="637.1936507936507"/>
        <n v="627.1206349206348"/>
        <n v="626.5174603174603"/>
        <n v="615.1174603174604"/>
        <n v="614.9968253968254"/>
        <n v="611.8"/>
        <n v="602.4507936507937"/>
        <n v="602.3904761904762"/>
        <n v="602.2698412698412"/>
        <n v="599.6158730158729"/>
        <n v="598.7714285714285"/>
        <n v="598.711111111111"/>
        <n v="585.44126984127"/>
        <n v="585.0793650793651"/>
        <n v="583.088888888889"/>
        <n v="581.8222222222221"/>
        <n v="577.1174603174604"/>
        <n v="575.1873015873014"/>
        <n v="574.2222222222222"/>
        <n v="568.3111111111111"/>
        <n v="567.2253968253967"/>
        <n v="564.7523809523811"/>
        <n v="561.1333333333332"/>
        <n v="559.4444444444443"/>
        <n v="558.1777777777777"/>
        <n v="556.3079365079366"/>
        <n v="552.9904761904762"/>
        <n v="550.095238095238"/>
        <n v="548.3460317460317"/>
        <n v="548.1650793650792"/>
        <n v="543.8222222222221"/>
        <n v="536.0412698412698"/>
        <n v="528.622222222222"/>
        <n v="528.3809523809522"/>
        <n v="527.8984126984125"/>
        <n v="510.76825396825393"/>
        <n v="509.07936507936506"/>
        <n v="508.4761904761905"/>
        <n v="507.3301587301588"/>
        <n v="506.7269841269841"/>
        <n v="494.9650793650792"/>
        <n v="494.78412698412706"/>
        <n v="492.6126984126985"/>
        <n v="491.22539682539673"/>
        <n v="488.75238095238103"/>
        <n v="483.44444444444446"/>
        <n v="478.0761904761904"/>
        <n v="471.4412698412699"/>
        <n v="466.9174603174604"/>
        <n v="455.15555555555545"/>
        <n v="452.86349206349223"/>
        <n v="438.6285714285714"/>
        <n v="436.0349206349208"/>
        <n v="432.11428571428564"/>
        <n v="429.46031746031736"/>
        <n v="427.1682539682538"/>
        <n v="426.98730158730166"/>
        <n v="425.41904761904755"/>
        <n v="421.4984126984126"/>
        <n v="416.9746031746031"/>
        <n v="414.2603174603173"/>
        <n v="413.65714285714284"/>
        <n v="411.48571428571427"/>
        <n v="400.5079365079364"/>
        <n v="396.10476190476186"/>
        <n v="394.7777777777778"/>
        <n v="393.3301587301586"/>
        <n v="387.90158730158726"/>
        <n v="387.23809523809507"/>
        <n v="386.9968253968252"/>
        <n v="382.4126984126982"/>
        <n v="380.18095238095236"/>
        <n v="376.5619047619049"/>
        <n v="371.07301587301583"/>
        <n v="368.23809523809507"/>
        <n v="368.1777777777777"/>
        <n v="367.51428571428573"/>
        <n v="364.86031746031745"/>
        <n v="361.9047619047618"/>
        <n v="359.4317460317461"/>
        <n v="358.8888888888889"/>
        <n v="354.726984126984"/>
        <n v="354.60634920634925"/>
        <n v="353.8222222222221"/>
        <n v="350.6857142857142"/>
        <n v="348.39365079365064"/>
        <n v="346.1015873015872"/>
        <n v="342.9047619047618"/>
        <n v="342.4222222222221"/>
        <n v="338.74285714285713"/>
        <n v="333.7365079365079"/>
        <n v="333.1936507936507"/>
        <n v="329.5746031746031"/>
        <n v="327.1015873015872"/>
        <n v="326.19682539682526"/>
        <n v="325.83492063492054"/>
        <n v="323.5428571428572"/>
        <n v="323.18095238095236"/>
        <n v="323.0603174603174"/>
        <n v="322.9396825396825"/>
        <n v="316.06349206349205"/>
        <n v="309.7301587301587"/>
        <n v="307.6190476190476"/>
        <n v="299.8380952380951"/>
        <n v="299.3555555555555"/>
        <n v="299.17460317460313"/>
        <n v="298.57142857142856"/>
        <n v="297.18412698412703"/>
        <n v="290.1873015873016"/>
        <n v="287.9555555555555"/>
        <n v="287.4126984126983"/>
        <n v="287.1111111111111"/>
        <n v="281.984126984127"/>
        <n v="274.6253968253968"/>
        <n v="273.479365079365"/>
        <n v="271.54920634920626"/>
        <n v="270.584126984127"/>
        <n v="267.2666666666667"/>
        <n v="266.7238095238095"/>
        <n v="263.3460317460317"/>
        <n v="260.39047619047614"/>
        <n v="259.54603174603164"/>
        <n v="258.09841269841274"/>
        <n v="255.62539682539682"/>
        <n v="254.72063492063495"/>
        <n v="252.06666666666666"/>
        <n v="251.6444444444444"/>
        <n v="249.8349206349206"/>
        <n v="249.41269841269832"/>
        <n v="248.8095238095239"/>
        <n v="248.44761904761907"/>
        <n v="242.71746031746034"/>
        <n v="240.90793650793643"/>
        <n v="233.60952380952386"/>
        <n v="233.54920634920626"/>
        <n v="229.14603174603167"/>
        <n v="228.84444444444443"/>
        <n v="228.30158730158723"/>
        <n v="227.57777777777773"/>
        <n v="226.43174603174612"/>
        <n v="222.69206349206348"/>
        <n v="221.18412698412703"/>
        <n v="219.01269841269834"/>
        <n v="218.7111111111111"/>
        <n v="218.46984126984125"/>
        <n v="218.34920634920633"/>
        <n v="217.50476190476178"/>
        <n v="216.9619047619048"/>
        <n v="214.06666666666666"/>
        <n v="213.40317460317465"/>
        <n v="212.86031746031745"/>
        <n v="207.79365079365078"/>
        <n v="207.55238095238093"/>
        <n v="206.3460317460317"/>
        <n v="205.32063492063486"/>
        <n v="204.8984126984127"/>
        <n v="203.99365079365083"/>
        <n v="203.39047619047614"/>
        <n v="203.02857142857135"/>
        <n v="202.54603174603176"/>
        <n v="202.48571428571427"/>
        <n v="202.42539682539677"/>
        <n v="201.5809523809524"/>
        <n v="199.7111111111111"/>
        <n v="198.6857142857142"/>
        <n v="193.5587301587302"/>
        <n v="193.19682539682537"/>
        <n v="191.14603174603178"/>
        <n v="189.03492063492064"/>
        <n v="185.83809523809526"/>
        <n v="185.3555555555555"/>
        <n v="184.1492063492064"/>
        <n v="183.96825396825398"/>
        <n v="179.86666666666667"/>
        <n v="179.1428571428571"/>
        <n v="178.29841269841268"/>
        <n v="175.88571428571424"/>
        <n v="173.35238095238094"/>
        <n v="173.2920634920635"/>
        <n v="166.65714285714284"/>
        <n v="166.0539682539682"/>
        <n v="163.5809523809524"/>
        <n v="162.19365079365082"/>
        <n v="160.44444444444446"/>
        <n v="160.26349206349204"/>
        <n v="158.6349206349206"/>
        <n v="158.51428571428573"/>
        <n v="158.15238095238095"/>
        <n v="156.76507936507937"/>
        <n v="154.17142857142858"/>
        <n v="152.72380952380956"/>
        <n v="151.21587301587306"/>
        <n v="150.79365079365084"/>
        <n v="149.82857142857137"/>
        <n v="148.1396825396825"/>
        <n v="146.3904761904762"/>
        <n v="145.54603174603176"/>
        <n v="145.42539682539683"/>
        <n v="144.7619047619047"/>
        <n v="144.15873015873018"/>
        <n v="142.95238095238096"/>
        <n v="141.26349206349204"/>
        <n v="141.02222222222224"/>
        <n v="138.60952380952378"/>
        <n v="137.22222222222223"/>
        <n v="137.0412698412698"/>
        <n v="136.31746031746027"/>
        <n v="136.19682539682535"/>
        <n v="135.77460317460313"/>
        <n v="134.8698412698413"/>
        <n v="133.66349206349201"/>
        <n v="132.09523809523805"/>
        <n v="132.03492063492064"/>
        <n v="130.76825396825396"/>
        <n v="129.863492063492"/>
        <n v="129.07936507936506"/>
        <n v="128.65714285714284"/>
        <n v="125.94285714285712"/>
        <n v="125.4603174603175"/>
        <n v="125.09841269841269"/>
        <n v="124.79682539682537"/>
        <n v="124.19365079365082"/>
        <n v="124.0126984126984"/>
        <n v="123.16825396825399"/>
        <n v="122.86666666666665"/>
        <n v="121.11746031746029"/>
        <n v="120.93650793650795"/>
        <n v="120.6349206349206"/>
        <n v="119.06666666666663"/>
        <n v="119.00634920634917"/>
        <n v="118.82539682539684"/>
        <n v="115.80952380952377"/>
        <n v="113.87936507936507"/>
        <n v="113.03492063492064"/>
        <n v="109.77777777777777"/>
        <n v="108.99365079365083"/>
        <n v="106.58095238095237"/>
        <n v="106.2793650793651"/>
        <n v="105.9174603174603"/>
        <n v="102.41904761904763"/>
        <n v="102.05714285714288"/>
        <n v="101.87619047619049"/>
        <n v="100.91111111111113"/>
        <n v="98.1968253968254"/>
        <n v="96.93015873015872"/>
        <n v="94.27619047619046"/>
        <n v="91.56190476190474"/>
        <n v="89.99365079365077"/>
        <n v="89.57142857142856"/>
        <n v="89.20952380952377"/>
        <n v="87.46031746031744"/>
        <n v="86.49523809523808"/>
        <n v="85.04761904761904"/>
        <n v="84.20317460317457"/>
        <n v="83.41904761904763"/>
        <n v="83.05714285714285"/>
        <n v="81.1269841269841"/>
        <n v="80.04126984126984"/>
        <n v="78.53333333333333"/>
        <n v="78.05079365079365"/>
        <n v="77.93015873015875"/>
        <n v="77.86984126984123"/>
        <n v="76.7238095238095"/>
        <n v="76.1206349206349"/>
        <n v="76.06031746031744"/>
        <n v="75.39682539682542"/>
        <n v="75.03492063492064"/>
        <n v="74.79365079365078"/>
        <n v="73.04444444444445"/>
        <n v="72.13968253968255"/>
        <n v="71.1142857142857"/>
        <n v="67.55555555555556"/>
        <n v="67.19365079365079"/>
        <n v="66.5904761904762"/>
        <n v="66.53015873015873"/>
        <n v="66.46984126984124"/>
        <n v="66.34920634920633"/>
        <n v="66.16825396825396"/>
        <n v="65.50476190476188"/>
        <n v="63.996825396825415"/>
        <n v="63.33333333333333"/>
        <n v="63.21269841269843"/>
        <n v="62.24761904761901"/>
        <n v="60.79999999999998"/>
        <n v="60.49841269841268"/>
        <n v="60.13650793650791"/>
        <n v="59.8952380952381"/>
        <n v="59.17142857142855"/>
        <n v="58.93015873015874"/>
        <n v="57.42222222222222"/>
        <n v="57.1206349206349"/>
        <n v="57.060317460317435"/>
        <n v="56.215873015873015"/>
        <n v="55.85396825396825"/>
        <n v="54.225396825396814"/>
        <n v="53.68253968253967"/>
        <n v="53.561904761904756"/>
        <n v="53.50158730158729"/>
        <n v="52.77777777777777"/>
        <n v="52.053968253968264"/>
        <n v="51.571428571428555"/>
        <n v="50.7873015873016"/>
        <n v="50.485714285714266"/>
        <n v="49.94285714285715"/>
        <n v="49.400000000000006"/>
        <n v="49.2190476190476"/>
        <n v="49.03809523809524"/>
        <n v="48.7968253968254"/>
        <n v="48.61587301587299"/>
        <n v="48.25396825396825"/>
        <n v="48.073015873015876"/>
        <n v="47.53015873015873"/>
        <n v="47.46984126984127"/>
        <n v="46.86666666666666"/>
        <n v="46.082539682539675"/>
        <n v="45.53968253968253"/>
        <n v="43.73015873015872"/>
        <n v="42.28253968253968"/>
        <n v="41.377777777777766"/>
        <n v="41.25714285714284"/>
        <n v="40.53333333333332"/>
        <n v="40.29206349206349"/>
        <n v="37.63809523809523"/>
        <n v="37.15555555555555"/>
        <n v="36.85396825396826"/>
        <n v="36.73333333333332"/>
        <n v="36.31111111111112"/>
        <n v="36.25079365079365"/>
        <n v="35.828571428571436"/>
        <n v="35.70793650793651"/>
        <n v="35.28571428571428"/>
        <n v="33.657142857142844"/>
        <n v="33.114285714285714"/>
        <n v="32.69206349206349"/>
        <n v="32.63174603174603"/>
        <n v="31.847619047619055"/>
        <n v="31.666666666666664"/>
        <n v="31.48571428571428"/>
        <n v="31.123809523809506"/>
        <n v="30.882539682539672"/>
        <n v="30.822222222222216"/>
        <n v="28.952380952380942"/>
        <n v="28.71111111111111"/>
        <n v="28.349206349206348"/>
        <n v="27.987301587301587"/>
        <n v="27.02222222222222"/>
        <n v="26.117460317460313"/>
        <n v="24.48888888888888"/>
        <n v="24.247619047619047"/>
        <n v="23.885714285714286"/>
        <n v="23.644444444444446"/>
        <n v="23.1015873015873"/>
        <n v="22.920634920634917"/>
        <n v="22.257142857142853"/>
        <n v="21.53333333333333"/>
        <n v="21.17142857142857"/>
        <n v="19.542857142857137"/>
        <n v="19.180952380952377"/>
        <n v="18.15555555555556"/>
        <n v="17.853968253968254"/>
        <n v="16.94920634920635"/>
        <n v="16.526984126984132"/>
        <n v="13.993650793650794"/>
        <n v="12.485714285714288"/>
        <n v="10.917460317460318"/>
        <n v="9.168253968253968"/>
        <n v="8.685714285714287"/>
        <n v="7.901587301587304"/>
        <n v="6.453968253968252"/>
        <n v="6.092063492063492"/>
        <n v="5.066666666666665"/>
        <n v="5.006349206349208"/>
        <n v="4.885714285714284"/>
        <n v="3.5587301587301585"/>
        <n v="3.3777777777777773"/>
        <n v="3.2571428571428562"/>
        <n v="3.076190476190475"/>
        <n v="3.015873015873016"/>
        <n v="2.412698412698412"/>
        <n v="2.1714285714285717"/>
        <n v="1.9301587301587295"/>
        <n v="1.3269841269841267"/>
        <n v="0.8444444444444443"/>
        <n v="0.603174603174603"/>
        <n v="129.02777777777777"/>
        <n v="213.41666666666663"/>
        <n v="36.05555555555556"/>
        <n v="32.36111111111113"/>
        <n v="65.11111111111111"/>
        <n v="12.333333333333336"/>
        <n v="49.111111111111114"/>
        <n v="131.75"/>
        <n v="956.8888888888891"/>
        <n v="1082.25"/>
        <n v="680.222222222222"/>
        <n v="370.7777777777778"/>
        <n v="1080.3888888888891"/>
        <n v="992.8055555555557"/>
        <n v="1111.3888888888891"/>
        <n v="558.8055555555554"/>
        <n v="699.2777777777778"/>
        <n v="613.3611111111111"/>
        <n v="550.972222222222"/>
        <n v="336.4722222222223"/>
        <n v="291.7777777777777"/>
        <n v="729.75"/>
        <n v="212.3611111111111"/>
        <n v="124.33333333333331"/>
        <n v="249.75"/>
        <n v="217.94444444444446"/>
        <n v="171.58333333333337"/>
        <n v="150.97222222222223"/>
        <n v="248.69444444444446"/>
        <n v="422.5277777777778"/>
        <n v="197.83333333333337"/>
        <n v="273.44444444444446"/>
        <n v="87.41666666666669"/>
        <n v="184.22222222222229"/>
        <n v="1135.416666666667"/>
        <n v="476.80555555555543"/>
        <n v="1183.3888888888891"/>
        <n v="828.4166666666665"/>
        <n v="1178.805555555556"/>
        <n v="469.05555555555543"/>
        <n v="494.5277777777778"/>
        <n v="1260.5"/>
        <n v="898.4722222222222"/>
        <n v="852.4722222222222"/>
        <n v="679.9444444444446"/>
        <n v="713.2777777777778"/>
        <n v="642.1388888888889"/>
        <n v="807.9444444444443"/>
        <n v="85.16666666666669"/>
        <n v="80.52777777777774"/>
        <n v="850.4722222222222"/>
        <n v="578.25"/>
        <n v="1632.2777777777783"/>
        <n v="1167.055555555556"/>
        <n v="710.1388888888891"/>
        <n v="655.6666666666665"/>
        <n v="13050.055555555555"/>
        <n v="401.08333333333326"/>
        <n v="2021.333333333333"/>
        <n v="9854.694444444449"/>
        <n v="366.0"/>
        <n v="1712.583333333333"/>
        <n v="17598.972222222226"/>
        <n v="429.19444444444457"/>
        <n v="2764.7777777777774"/>
        <n v="9165.083333333336"/>
        <n v="295.55555555555554"/>
        <n v="1554.4722222222217"/>
        <n v="3705.4444444444434"/>
        <n v="408.58333333333326"/>
        <n v="3105.1388888888887"/>
        <n v="1556.3888888888887"/>
        <n v="237.77777777777771"/>
        <n v="1595.75"/>
        <n v="2131.5555555555557"/>
        <n v="165.91666666666663"/>
        <n v="1367.5277777777783"/>
        <n v="3981.5"/>
        <n v="423.7777777777778"/>
        <n v="3453.6944444444434"/>
        <n v="1547.6944444444443"/>
        <n v="224.16666666666663"/>
        <n v="772.4722222222222"/>
        <n v="2584.5555555555557"/>
        <n v="424.41666666666674"/>
        <n v="1762.8888888888887"/>
        <n v="2293.5"/>
        <n v="294.94444444444446"/>
        <n v="1290.944444444444"/>
        <n v="2067.25"/>
        <n v="256.0"/>
        <n v="1036.25"/>
        <n v="1615.3611111111113"/>
        <n v="251.6111111111111"/>
        <n v="1500.666666666667"/>
        <n v="6282.222222222223"/>
        <n v="194.69444444444446"/>
        <n v="1021.5555555555557"/>
        <n v="6087.444444444445"/>
        <n v="114.88888888888886"/>
        <n v="897.4444444444443"/>
        <n v="8650.777777777777"/>
        <n v="153.6944444444445"/>
        <n v="936.3611111111109"/>
        <n v="2114.388888888888"/>
        <n v="209.77777777777771"/>
        <n v="1028.5"/>
        <n v="2157.138888888888"/>
        <n v="157.0555555555555"/>
        <n v="1368.416666666667"/>
        <n v="10707.111111111113"/>
        <n v="411.7777777777778"/>
        <n v="1901.75"/>
        <n v="1815.8055555555557"/>
        <n v="289.0"/>
        <n v="1150.166666666667"/>
        <n v="535.277777777778"/>
        <n v="79.08333333333331"/>
        <n v="1425.7777777777783"/>
        <n v="79.22222222222226"/>
        <n v="630.1388888888889"/>
        <n v="41.86111111111113"/>
        <n v="88.38888888888886"/>
        <n v="476.75"/>
        <n v="56.72222222222223"/>
        <n v="556.8333333333335"/>
        <n v="271.44444444444446"/>
        <n v="37.88888888888887"/>
        <n v="212.77777777777771"/>
        <n v="238.91666666666663"/>
        <n v="13.444444444444443"/>
        <n v="140.75"/>
        <n v="4505.416666666668"/>
        <n v="165.22222222222223"/>
        <n v="480.69444444444457"/>
        <n v="3399.5555555555566"/>
        <n v="160.66666666666663"/>
        <n v="506.69444444444457"/>
        <n v="2253.75"/>
        <n v="86.02777777777777"/>
        <n v="366.05555555555543"/>
        <n v="5914.694444444445"/>
        <n v="91.58333333333331"/>
        <n v="245.69444444444446"/>
        <n v="1302.25"/>
        <n v="73.11111111111111"/>
        <n v="252.33333333333337"/>
        <n v="637.6944444444446"/>
        <n v="55.0"/>
        <n v="268.5"/>
        <n v="2073.4722222222217"/>
        <n v="102.86111111111114"/>
        <n v="481.55555555555543"/>
        <n v="36.5"/>
        <n v="460.7222222222222"/>
        <n v="927.7222222222222"/>
        <n v="44.138888888888886"/>
        <n v="389.1111111111111"/>
        <n v="756.6666666666665"/>
        <n v="82.27777777777774"/>
        <n v="383.1111111111111"/>
        <n v="314.80555555555554"/>
        <n v="259.0"/>
        <n v="295.19444444444446"/>
        <n v="164.72222222222223"/>
        <n v="419.1388888888889"/>
        <n v="800.5"/>
        <n v="752.2777777777778"/>
        <n v="558.75"/>
        <n v="358.44444444444457"/>
        <n v="239.0"/>
        <n v="297.30555555555554"/>
        <n v="841.8888888888891"/>
        <n v="1743.7777777777783"/>
        <n v="1317.444444444444"/>
        <n v="2789.6111111111113"/>
        <n v="1782.416666666667"/>
        <n v="2762.5555555555566"/>
        <n v="1291.305555555556"/>
        <n v="2718.361111111112"/>
        <n v="1680.6944444444443"/>
        <n v="848.7777777777778"/>
        <n v="1892.2777777777783"/>
        <n v="857.3611111111109"/>
        <n v="1261.1111111111109"/>
        <n v="1789.8611111111113"/>
        <n v="1083.055555555556"/>
        <n v="186.16666666666663"/>
        <n v="427.9722222222222"/>
        <n v="317.80555555555554"/>
        <n v="310.0"/>
        <n v="478.08333333333326"/>
        <n v="325.0"/>
        <n v="412.69444444444457"/>
        <n v="1449.6944444444443"/>
        <n v="247.8888888888889"/>
        <n v="916.5"/>
        <n v="975.6111111111109"/>
        <n v="1003.9166666666665"/>
        <n v="1764.4722222222217"/>
        <n v="1289.4722222222222"/>
        <n v="492.55555555555543"/>
        <n v="1350.555555555556"/>
        <n v="694.2777777777778"/>
        <n v="627.0"/>
        <n v="1081.194444444444"/>
        <n v="1413.4722222222217"/>
        <n v="160.61111111111114"/>
        <n v="662.277777777778"/>
        <n v="5862.222222222223"/>
        <n v="7270.5"/>
        <n v="8356.861111111113"/>
        <n v="4729.333333333332"/>
        <n v="10424.75"/>
        <n v="3846.1111111111113"/>
        <n v="7566.083333333332"/>
        <n v="931.0833333333335"/>
        <n v="1790.9444444444443"/>
        <n v="1285.8611111111109"/>
        <n v="970.7222222222222"/>
        <n v="797.6388888888891"/>
        <n v="1169.805555555556"/>
        <n v="691.6111111111109"/>
        <n v="708.0277777777778"/>
        <n v="639.972222222222"/>
        <n v="335.361111111111"/>
        <n v="360.3611111111111"/>
        <n v="265.75"/>
        <n v="413.0"/>
        <n v="349.25"/>
        <n v="171.27777777777771"/>
        <n v="521.5"/>
        <n v="691.7222222222222"/>
        <n v="490.75"/>
        <n v="383.83333333333326"/>
        <n v="863.5555555555557"/>
        <n v="204.05555555555554"/>
        <n v="262.19444444444446"/>
        <n v="386.94444444444457"/>
        <n v="602.8888888888889"/>
        <n v="780.3333333333335"/>
        <n v="372.08333333333326"/>
        <n v="325.5"/>
        <n v="423.2222222222222"/>
        <n v="89.72222222222223"/>
        <n v="296.80555555555554"/>
        <n v="738.0"/>
        <n v="767.0"/>
        <n v="1065.916666666667"/>
        <n v="782.9166666666665"/>
        <n v="554.0833333333335"/>
        <n v="802.1388888888891"/>
        <n v="1624.666666666667"/>
        <n v="1836.166666666667"/>
        <n v="1409.416666666667"/>
        <n v="1881.5555555555557"/>
        <n v="2025.8055555555557"/>
        <n v="1236.7777777777778"/>
        <n v="1207.0277777777778"/>
        <n v="512.25"/>
        <n v="1109.5"/>
        <n v="698.6666666666665"/>
        <n v="569.8055555555554"/>
        <n v="730.1388888888891"/>
        <n v="467.80555555555543"/>
        <n v="980.6666666666665"/>
        <n v="837.3055555555557"/>
        <n v="596.4444444444446"/>
        <n v="509.3611111111111"/>
        <n v="531.277777777778"/>
        <n v="453.3888888888889"/>
        <n v="207.83333333333337"/>
        <n v="1152.194444444444"/>
        <n v="482.7222222222222"/>
        <n v="1951.333333333333"/>
        <n v="57.33333333333334"/>
        <n v="357.30555555555543"/>
        <n v="186.41666666666663"/>
        <n v="107.19444444444446"/>
        <n v="311.4722222222223"/>
        <n v="134.63888888888886"/>
        <n v="604.1111111111111"/>
        <n v="606.8333333333335"/>
        <n v="629.3333333333335"/>
        <n v="673.6944444444446"/>
        <n v="82.22222222222226"/>
        <n v="409.58333333333326"/>
        <n v="258.25"/>
        <n v="435.8611111111111"/>
        <n v="78.33333333333331"/>
        <n v="326.888888888889"/>
        <n v="88.47222222222223"/>
        <n v="346.8888888888889"/>
        <n v="501.1111111111111"/>
        <n v="465.91666666666674"/>
        <n v="543.0833333333335"/>
        <n v="293.30555555555554"/>
        <n v="230.25"/>
        <n v="1302.1111111111109"/>
        <n v="1265.25"/>
        <n v="1824.0"/>
        <n v="2928.916666666666"/>
        <n v="1206.583333333333"/>
        <n v="1632.166666666667"/>
        <n v="1705.4444444444443"/>
        <n v="1919.1944444444443"/>
        <n v="1273.944444444444"/>
        <n v="2587.888888888888"/>
        <n v="1399.6111111111113"/>
        <n v="728.1388888888891"/>
        <n v="2128.9444444444443"/>
        <n v="754.1944444444443"/>
        <n v="1036.916666666667"/>
        <n v="756.4444444444443"/>
        <n v="6778.0"/>
        <n v="529.8888888888889"/>
        <n v="4291.833333333332"/>
        <n v="4279.722222222224"/>
        <n v="171.3611111111111"/>
        <n v="427.5"/>
        <n v="2330.4444444444443"/>
        <n v="142.77777777777777"/>
        <n v="417.6388888888889"/>
        <n v="2074.75"/>
        <n v="260.30555555555554"/>
        <n v="8922.722222222223"/>
        <n v="1531.6388888888887"/>
        <n v="1314.5"/>
        <n v="5266.027777777776"/>
        <n v="2480.638888888888"/>
        <n v="105.16666666666669"/>
        <n v="254.05555555555554"/>
        <n v="4286.166666666668"/>
        <n v="227.1388888888889"/>
        <n v="498.1111111111111"/>
        <n v="2288.2777777777783"/>
        <n v="127.0"/>
        <n v="269.16666666666674"/>
        <n v="1989.8888888888887"/>
        <n v="80.22222222222226"/>
        <n v="184.6111111111111"/>
        <n v="5854.222222222223"/>
        <n v="379.33333333333326"/>
        <n v="677.777777777778"/>
        <n v="1759.9722222222217"/>
        <n v="71.5"/>
        <n v="183.6388888888889"/>
        <n v="2044.6388888888887"/>
        <n v="1372.6388888888887"/>
        <n v="227.6388888888889"/>
        <n v="1475.333333333333"/>
        <n v="383.75"/>
        <n v="2821.333333333334"/>
        <n v="2202.5"/>
        <n v="1088.083333333333"/>
        <n v="184.25"/>
        <n v="1041.916666666667"/>
        <n v="491.33333333333326"/>
        <n v="69.02777777777774"/>
        <n v="8145.305555555555"/>
        <n v="279.861111111111"/>
        <n v="641.277777777778"/>
        <n v="335.16666666666674"/>
        <n v="30.0"/>
        <n v="158.0"/>
        <n v="567.222222222222"/>
        <n v="246.08333333333337"/>
        <n v="590.1388888888889"/>
        <n v="77.27777777777774"/>
        <n v="1056.8611111111109"/>
        <n v="697.0833333333335"/>
        <n v="455.1388888888889"/>
        <n v="90.52777777777777"/>
        <n v="1063.5277777777778"/>
        <n v="761.6944444444443"/>
        <n v="419.44444444444457"/>
        <n v="65.02777777777774"/>
        <n v="1409.5277777777783"/>
        <n v="622.722222222222"/>
        <n v="82.19444444444443"/>
        <n v="482.6111111111111"/>
        <n v="83.80555555555557"/>
        <n v="1141.083333333333"/>
        <n v="679.1111111111111"/>
        <n v="1278.9722222222222"/>
        <n v="399.94444444444457"/>
        <n v="93.47222222222223"/>
        <n v="55.91666666666666"/>
        <n v="102.75"/>
        <n v="132.66666666666663"/>
        <n v="123.41666666666669"/>
        <n v="255.19444444444446"/>
        <n v="1399.5555555555557"/>
        <n v="567.5555555555554"/>
        <n v="1121.4722222222222"/>
        <n v="943.6388888888891"/>
        <n v="1178.6111111111109"/>
        <n v="487.3611111111111"/>
        <n v="776.2222222222222"/>
        <n v="195.6388888888889"/>
        <n v="368.1111111111111"/>
        <n v="617.5"/>
        <n v="1100.75"/>
        <n v="397.1111111111111"/>
        <n v="408.3611111111111"/>
        <n v="51.69444444444443"/>
        <n v="47.25"/>
        <n v="85.66666666666669"/>
        <n v="87.13888888888886"/>
        <n v="106.86111111111114"/>
        <n v="65.77777777777774"/>
        <n v="42.08333333333334"/>
        <n v="56.02777777777777"/>
        <n v="690.5555555555557"/>
        <n v="357.83333333333326"/>
        <n v="320.83333333333326"/>
        <n v="245.72222222222229"/>
        <n v="236.8611111111111"/>
        <n v="139.16666666666663"/>
        <n v="224.3888888888889"/>
        <n v="388.0277777777778"/>
        <n v="119.05555555555554"/>
        <n v="198.69444444444446"/>
        <n v="210.52777777777771"/>
        <n v="9254.388888888887"/>
        <n v="301.19444444444446"/>
        <n v="1263.25"/>
        <n v="9243.25"/>
        <n v="2390.5277777777783"/>
        <n v="4064.9444444444434"/>
        <n v="3895.2777777777774"/>
        <n v="3863.666666666666"/>
        <n v="832.3888888888891"/>
        <n v="3125.166666666666"/>
        <n v="2751.0555555555566"/>
        <n v="2287.1944444444443"/>
        <n v="3864.8055555555566"/>
        <n v="2398.666666666666"/>
        <n v="2798.083333333334"/>
        <n v="1826.4444444444443"/>
        <n v="2442.666666666666"/>
        <n v="2034.333333333333"/>
        <n v="3473.0"/>
        <n v="2353.0277777777783"/>
        <n v="2295.2222222222217"/>
        <n v="2452.5555555555557"/>
        <n v="4732.972222222224"/>
        <n v="2919.0555555555566"/>
        <n v="3135.833333333334"/>
        <n v="2638.9722222222217"/>
        <n v="1424.75"/>
        <n v="1236.75"/>
        <n v="917.1111111111109"/>
        <n v="322.80555555555554"/>
        <n v="603.722222222222"/>
        <n v="454.7777777777778"/>
        <n v="621.4444444444446"/>
        <n v="367.55555555555543"/>
        <n v="582.8333333333335"/>
        <n v="539.3055555555554"/>
        <n v="500.3611111111111"/>
        <n v="4193.361111111111"/>
        <n v="2374.333333333334"/>
        <n v="3522.333333333334"/>
        <n v="3318.666666666666"/>
        <n v="6287.055555555555"/>
        <n v="4235.138888888889"/>
        <n v="4421.5"/>
        <n v="3143.916666666666"/>
        <n v="3517.3888888888887"/>
        <n v="2453.5555555555557"/>
        <n v="3059.1944444444434"/>
        <n v="2455.388888888888"/>
        <n v="2883.5"/>
        <n v="2440.0555555555557"/>
        <n v="1754.6944444444443"/>
        <n v="3287.666666666666"/>
        <n v="1356.8888888888891"/>
        <n v="1016.1944444444443"/>
        <n v="1069.6111111111109"/>
        <n v="899.2777777777778"/>
        <n v="1594.0555555555557"/>
        <n v="1415.416666666667"/>
        <n v="2919.8055555555566"/>
        <n v="3145.9722222222226"/>
        <n v="1656.8888888888887"/>
        <n v="4194.361111111111"/>
        <n v="4981.027777777776"/>
        <n v="3631.0277777777774"/>
        <n v="2484.361111111112"/>
        <n v="1098.2222222222222"/>
        <n v="1455.2222222222217"/>
        <n v="2794.5555555555566"/>
        <n v="3072.4444444444434"/>
        <n v="636.5833333333335"/>
        <n v="854.1666666666665"/>
        <n v="1644.6944444444443"/>
        <n v="835.3055555555557"/>
        <n v="791.6666666666665"/>
        <n v="390.66666666666674"/>
        <n v="87.75"/>
        <n v="254.0"/>
        <n v="184.30555555555554"/>
        <n v="377.94444444444457"/>
        <n v="196.91666666666663"/>
        <n v="928.1111111111109"/>
        <n v="1463.416666666667"/>
        <n v="848.6666666666665"/>
        <n v="746.1388888888891"/>
        <n v="844.6666666666665"/>
        <n v="2075.5555555555557"/>
        <n v="1105.583333333333"/>
        <n v="641.6666666666665"/>
        <n v="1884.8888888888887"/>
        <n v="1297.6111111111109"/>
        <n v="2076.611111111112"/>
        <n v="1439.166666666667"/>
        <n v="1926.6944444444443"/>
        <n v="1635.6111111111113"/>
        <n v="488.0277777777778"/>
        <n v="431.0"/>
        <n v="519.3888888888889"/>
        <n v="866.5"/>
        <n v="140.52777777777777"/>
        <n v="133.27777777777777"/>
        <n v="140.5"/>
        <n v="92.38888888888886"/>
        <n v="234.27777777777771"/>
        <n v="1082.583333333333"/>
        <n v="235.30555555555554"/>
        <n v="189.44444444444446"/>
        <n v="520.8611111111111"/>
        <n v="260.2777777777777"/>
        <n v="411.66666666666674"/>
        <n v="268.7777777777777"/>
        <n v="838.7777777777778"/>
        <n v="1175.583333333333"/>
        <n v="1424.4444444444443"/>
        <n v="457.0"/>
        <n v="137.63888888888886"/>
        <n v="1065.75"/>
        <n v="1266.833333333333"/>
        <n v="1054.6111111111109"/>
        <n v="96.08333333333331"/>
        <n v="951.1111111111109"/>
        <n v="320.66666666666674"/>
        <n v="980.1666666666665"/>
        <n v="478.83333333333326"/>
        <n v="1041.5"/>
        <n v="462.58333333333326"/>
        <n v="435.33333333333326"/>
        <n v="528.1944444444446"/>
        <n v="176.94444444444446"/>
        <n v="428.8888888888889"/>
        <n v="271.9722222222223"/>
        <n v="93.38888888888886"/>
        <n v="315.91666666666674"/>
        <n v="73.16666666666669"/>
        <n v="146.22222222222223"/>
        <n v="218.97222222222229"/>
        <n v="571.25"/>
        <n v="1217.6111111111109"/>
        <n v="1316.6111111111109"/>
        <n v="2731.6111111111113"/>
        <n v="3003.4722222222226"/>
        <n v="1531.0277777777783"/>
        <n v="1408.8888888888887"/>
        <n v="666.1666666666665"/>
        <n v="3338.2777777777774"/>
        <n v="2164.4444444444443"/>
        <n v="1585.8611111111113"/>
        <n v="5021.527777777776"/>
        <n v="112480.69722222222"/>
        <n v="8819.444444444449"/>
        <n v="2596.7222222222217"/>
        <n v="61.0"/>
        <n v="4.888888888888891"/>
        <n v="95.13888888888886"/>
        <n v="4.916666666666668"/>
        <n v="67884.6388888889"/>
        <n v="82884.83333333331"/>
        <n v="16938.194444444445"/>
        <n v="72650.69444444441"/>
        <n v="5702.083333333332"/>
        <n v="3168.6388888888887"/>
        <n v="1597.4444444444443"/>
        <n v="1544.6111111111113"/>
        <n v="1391.5277777777783"/>
        <n v="1349.7777777777778"/>
        <n v="2328.388888888888"/>
        <n v="2855.083333333334"/>
        <n v="1525.7222222222217"/>
        <n v="2105.25"/>
        <n v="1586.8611111111113"/>
        <n v="1406.0277777777783"/>
        <n v="1306.666666666667"/>
        <n v="1593.7222222222217"/>
        <n v="1172.1111111111109"/>
        <n v="1794.4444444444443"/>
        <n v="1225.333333333333"/>
        <n v="1612.3611111111113"/>
        <n v="1376.75"/>
        <n v="1613.2777777777783"/>
        <n v="217.8888888888889"/>
        <n v="1748.0277777777783"/>
        <n v="7068.583333333332"/>
        <n v="238.05555555555554"/>
        <n v="1200.7222222222222"/>
        <n v="5138.944444444443"/>
        <n v="203.27777777777771"/>
        <n v="908.25"/>
        <n v="2040.0"/>
        <n v="253.0"/>
        <n v="1616.0"/>
        <n v="9754.805555555551"/>
        <n v="381.75"/>
        <n v="1781.9722222222217"/>
        <n v="11001.583333333336"/>
        <n v="310.611111111111"/>
        <n v="1577.75"/>
        <n v="3904.6944444444434"/>
        <n v="124.52777777777777"/>
        <n v="576.8611111111111"/>
        <n v="3444.2222222222226"/>
        <n v="115.05555555555554"/>
        <n v="468.7222222222222"/>
        <n v="4066.0"/>
        <n v="150.0"/>
        <n v="869.3888888888891"/>
        <n v="3569.833333333334"/>
        <n v="431.66666666666674"/>
        <n v="3609.9444444444434"/>
        <n v="4538.444444444443"/>
        <n v="816.3333333333335"/>
        <n v="3523.416666666666"/>
        <n v="1217.805555555556"/>
        <n v="223.91666666666663"/>
        <n v="1120.3611111111109"/>
        <n v="1226.305555555556"/>
        <n v="127.08333333333331"/>
        <n v="936.4444444444443"/>
        <n v="2301.9444444444443"/>
        <n v="203.6388888888889"/>
        <n v="1373.1111111111113"/>
        <n v="1466.7777777777783"/>
        <n v="154.63888888888886"/>
        <n v="864.1944444444443"/>
        <n v="2219.5277777777783"/>
        <n v="179.55555555555554"/>
        <n v="1558.3888888888887"/>
        <n v="1388.5"/>
        <n v="183.16666666666663"/>
        <n v="1341.166666666667"/>
        <n v="64.38888888888889"/>
        <n v="155.16666666666663"/>
        <n v="2108.75"/>
        <n v="221.83333333333337"/>
        <n v="1007.0277777777778"/>
        <n v="2128.833333333334"/>
        <n v="251.8611111111111"/>
        <n v="1088.333333333333"/>
        <n v="1355.9722222222222"/>
        <n v="72.22222222222226"/>
        <n v="177.75"/>
        <n v="827.75"/>
        <n v="37.61111111111113"/>
        <n v="126.55555555555554"/>
        <n v="833.6111111111109"/>
        <n v="110.5"/>
        <n v="603.3333333333335"/>
        <n v="1531.0555555555557"/>
        <n v="177.44444444444446"/>
        <n v="645.3611111111111"/>
        <n v="4663.138888888889"/>
        <n v="170.1944444444445"/>
        <n v="435.3611111111111"/>
        <n v="1636.3055555555557"/>
        <n v="77.05555555555557"/>
        <n v="190.97222222222229"/>
        <n v="2206.861111111112"/>
        <n v="104.97222222222223"/>
        <n v="254.80555555555554"/>
        <n v="1936.75"/>
        <n v="76.33333333333331"/>
        <n v="223.16666666666663"/>
        <n v="278.388888888889"/>
        <n v="3781.25"/>
        <n v="613.8055555555554"/>
        <n v="2056.583333333334"/>
        <n v="1740.6388888888887"/>
        <n v="364.1111111111111"/>
        <n v="1642.3055555555557"/>
        <n v="1167.1111111111109"/>
        <n v="189.97222222222229"/>
        <n v="1238.916666666667"/>
        <n v="2297.416666666666"/>
        <n v="1615.2222222222217"/>
        <n v="1762.25"/>
        <n v="307.83333333333326"/>
        <n v="1901.5555555555557"/>
        <n v="748.3055555555557"/>
        <n v="1193.694444444444"/>
        <n v="1786.4444444444443"/>
        <n v="1271.055555555556"/>
        <n v="3880.2777777777774"/>
        <n v="1377.416666666667"/>
        <n v="534.4444444444446"/>
        <n v="1303.333333333333"/>
        <n v="2939.583333333334"/>
        <n v="1771.7777777777783"/>
        <n v="2540.166666666666"/>
        <n v="1371.416666666667"/>
        <n v="2255.1944444444443"/>
        <n v="115.69444444444446"/>
        <n v="396.3888888888889"/>
        <n v="4823.194444444443"/>
        <n v="147.9444444444445"/>
        <n v="891.8888888888891"/>
        <n v="1918.2777777777783"/>
        <n v="94.13888888888886"/>
        <n v="362.66666666666674"/>
        <n v="2471.5555555555557"/>
        <n v="96.36111111111114"/>
        <n v="334.58333333333326"/>
        <n v="2169.2777777777783"/>
        <n v="55.83333333333334"/>
        <n v="310.58333333333326"/>
        <n v="2000.1111111111113"/>
        <n v="107.75"/>
        <n v="393.91666666666674"/>
        <n v="2263.25"/>
        <n v="56.75"/>
        <n v="298.2777777777777"/>
        <n v="1504.083333333333"/>
        <n v="42.33333333333334"/>
        <n v="150.72222222222223"/>
        <n v="649.222222222222"/>
        <n v="49.77777777777777"/>
        <n v="115.47222222222223"/>
        <n v="748.3611111111109"/>
        <n v="40.277777777777786"/>
        <n v="114.41666666666669"/>
        <n v="499.5277777777778"/>
        <n v="80.02777777777774"/>
        <n v="581.4166666666665"/>
        <n v="28.861111111111114"/>
        <n v="1352.4722222222222"/>
        <n v="1624.7222222222217"/>
        <n v="2761.8888888888887"/>
        <n v="3398.166666666666"/>
        <n v="4603.833333333332"/>
        <n v="2238.75"/>
        <n v="1207.916666666667"/>
        <n v="1414.5555555555557"/>
        <n v="1575.1111111111113"/>
        <n v="309.638888888889"/>
        <n v="131.3055555555555"/>
        <n v="284.388888888889"/>
        <n v="2132.916666666666"/>
        <n v="706.9444444444443"/>
        <n v="842.2777777777778"/>
        <n v="2121.25"/>
        <n v="2590.2222222222217"/>
        <n v="1338.666666666667"/>
        <n v="1498.75"/>
        <n v="1770.2222222222217"/>
        <n v="1530.416666666667"/>
        <n v="730.2777777777778"/>
        <n v="907.6944444444443"/>
        <n v="1228.305555555556"/>
        <n v="861.2222222222222"/>
        <n v="925.8333333333335"/>
        <n v="1194.0"/>
        <n v="844.7222222222222"/>
        <n v="563.0"/>
        <n v="682.7222222222222"/>
        <n v="493.44444444444457"/>
        <n v="116.69444444444446"/>
        <n v="92.27777777777777"/>
        <n v="193.16666666666663"/>
        <n v="141.6944444444445"/>
        <n v="157.1944444444445"/>
        <n v="81.75"/>
        <n v="205.30555555555554"/>
        <n v="219.6388888888889"/>
        <n v="478.33333333333326"/>
        <n v="363.8888888888889"/>
        <n v="164.38888888888886"/>
        <n v="171.19444444444446"/>
        <n v="343.5"/>
        <n v="330.94444444444446"/>
        <n v="331.138888888889"/>
        <n v="169.02777777777777"/>
        <n v="177.83333333333337"/>
        <n v="219.27777777777771"/>
        <n v="141.77777777777777"/>
        <n v="115.0"/>
        <n v="97.36111111111114"/>
        <n v="53.25"/>
        <n v="106.22222222222223"/>
        <n v="74.38888888888889"/>
        <n v="113.36111111111114"/>
        <n v="64.36111111111111"/>
        <n v="49.47222222222223"/>
        <n v="39.13888888888887"/>
        <n v="117.61111111111114"/>
        <n v="87.08333333333331"/>
        <n v="24.25"/>
        <n v="60.47222222222223"/>
        <n v="23.944444444444443"/>
        <n v="38.61111111111113"/>
        <n v="38.25"/>
        <n v="52.02777777777777"/>
        <n v="7.527777777777779"/>
        <n v="19.055555555555564"/>
        <n v="26.41666666666667"/>
        <n v="81.16666666666669"/>
        <n v="28.83333333333333"/>
        <n v="65.80555555555557"/>
        <n v="68.27777777777774"/>
        <n v="36.972222222222214"/>
        <n v="238.3611111111111"/>
        <n v="283.388888888889"/>
        <n v="392.69444444444457"/>
        <n v="444.05555555555543"/>
        <n v="464.19444444444457"/>
        <n v="175.3888888888889"/>
        <n v="82.75"/>
        <n v="95.55555555555554"/>
        <n v="41.91666666666666"/>
        <n v="141.58333333333337"/>
        <n v="66.11111111111111"/>
        <n v="64.86111111111111"/>
        <n v="63.91666666666666"/>
        <n v="67.44444444444443"/>
        <n v="91.61111111111114"/>
        <n v="105.94444444444446"/>
        <n v="83.05555555555557"/>
        <n v="119.80555555555554"/>
        <n v="26.91666666666667"/>
        <n v="150.22222222222223"/>
        <n v="100.05555555555554"/>
        <n v="171.94444444444446"/>
        <n v="561.3333333333335"/>
        <n v="132.02777777777777"/>
        <n v="102.11111111111114"/>
        <n v="151.5555555555555"/>
        <n v="225.44444444444446"/>
        <n v="15712.5"/>
        <n v="543.0555555555554"/>
        <n v="373.91666666666674"/>
        <n v="11895.944444444445"/>
        <n v="542.8611111111111"/>
        <n v="2318.6944444444443"/>
        <n v="8116.5"/>
        <n v="419.5277777777778"/>
        <n v="1442.9722222222217"/>
        <n v="11307.36111111111"/>
        <n v="485.16666666666674"/>
        <n v="2137.5"/>
        <n v="6388.944444444445"/>
        <n v="269.25"/>
        <n v="1065.305555555556"/>
        <n v="6289.361111111113"/>
        <n v="1158.3611111111109"/>
        <n v="4312.611111111111"/>
        <n v="2518.888888888888"/>
        <n v="387.05555555555543"/>
        <n v="2189.5277777777783"/>
        <n v="3242.0555555555566"/>
        <n v="617.25"/>
        <n v="2908.7222222222226"/>
        <n v="3480.75"/>
        <n v="486.16666666666674"/>
        <n v="2494.5"/>
        <n v="2828.8611111111113"/>
        <n v="440.1388888888889"/>
        <n v="2329.5"/>
        <n v="4688.777777777776"/>
        <n v="879.3055555555557"/>
        <n v="3206.1388888888887"/>
        <n v="1012.4166666666665"/>
        <n v="219.52777777777771"/>
        <n v="1384.3055555555557"/>
        <n v="1410.8055555555557"/>
        <n v="305.861111111111"/>
        <n v="1419.0277777777783"/>
        <n v="3241.7777777777774"/>
        <n v="496.1388888888889"/>
        <n v="2177.916666666666"/>
        <n v="2843.2222222222226"/>
        <n v="340.66666666666674"/>
        <n v="2418.25"/>
        <n v="1752.583333333333"/>
        <n v="153.75"/>
        <n v="1637.3611111111113"/>
        <n v="1032.8611111111109"/>
        <n v="157.25"/>
        <n v="888.7777777777778"/>
        <n v="1736.5277777777783"/>
        <n v="229.22222222222229"/>
        <n v="1585.9444444444443"/>
        <n v="1493.5"/>
        <n v="117.27777777777777"/>
        <n v="1412.6388888888887"/>
        <n v="1490.7777777777783"/>
        <n v="105.25"/>
        <n v="970.0833333333335"/>
        <n v="30026.38888888889"/>
        <n v="6694.444444444445"/>
        <n v="3359.4444444444434"/>
        <n v="3838.083333333334"/>
        <n v="173.5"/>
        <n v="720.6388888888891"/>
        <n v="1623.0"/>
        <n v="312.41666666666674"/>
        <n v="8037.777777777777"/>
        <n v="244.77777777777771"/>
        <n v="1598.416666666667"/>
        <n v="1305.916666666667"/>
        <n v="172.47222222222229"/>
        <n v="1124.1388888888891"/>
        <n v="1217.694444444444"/>
        <n v="215.1388888888889"/>
        <n v="1071.583333333333"/>
        <n v="1165.083333333333"/>
        <n v="158.4444444444445"/>
        <n v="1047.916666666667"/>
        <n v="2735.6388888888887"/>
        <n v="322.25"/>
        <n v="2906.8055555555566"/>
        <n v="282.5"/>
        <n v="31.472222222222214"/>
        <n v="182.33333333333337"/>
        <n v="1318.7777777777778"/>
        <n v="269.611111111111"/>
        <n v="1055.916666666667"/>
        <n v="1782.6944444444443"/>
        <n v="149.41666666666663"/>
        <n v="1006.75"/>
        <n v="35.61111111111113"/>
        <n v="114.0"/>
        <n v="1033.1111111111109"/>
        <n v="910.5833333333335"/>
        <n v="1032.75"/>
        <n v="2313.75"/>
        <n v="1914.833333333333"/>
        <n v="2304.9722222222217"/>
        <n v="2019.3611111111113"/>
        <n v="2238.166666666666"/>
        <n v="1235.805555555556"/>
        <n v="369.2777777777778"/>
        <n v="1522.9444444444443"/>
        <n v="1067.916666666667"/>
        <n v="490.1111111111111"/>
        <n v="1026.055555555556"/>
        <n v="567.3611111111111"/>
        <n v="50.08333333333334"/>
        <n v="488.8611111111111"/>
        <n v="458.94444444444457"/>
        <n v="21.5"/>
        <n v="396.94444444444457"/>
        <n v="21.75"/>
        <n v="445.8611111111111"/>
        <n v="775.5833333333335"/>
        <n v="47.611111111111114"/>
        <n v="437.8611111111111"/>
        <n v="1161.3888888888891"/>
        <n v="1181.333333333333"/>
        <n v="1806.5555555555557"/>
        <n v="1322.916666666667"/>
        <n v="1771.3611111111113"/>
        <n v="2146.333333333334"/>
        <n v="1762.9722222222217"/>
        <n v="1861.75"/>
        <n v="736.7777777777778"/>
        <n v="104.86111111111114"/>
        <n v="380.8611111111111"/>
        <n v="592.0"/>
        <n v="3244.0277777777774"/>
        <n v="2862.416666666666"/>
        <n v="4008.25"/>
        <n v="2054.75"/>
        <n v="5524.694444444445"/>
        <n v="3010.7777777777774"/>
        <n v="759.6666666666665"/>
        <n v="637.1111111111111"/>
        <n v="1345.25"/>
        <n v="1228.2222222222222"/>
        <n v="1767.083333333333"/>
        <n v="1213.194444444444"/>
        <n v="1519.25"/>
        <n v="1369.416666666667"/>
        <n v="27355.444444444453"/>
        <n v="104.11111111111114"/>
        <n v="1483.4722222222217"/>
        <n v="172.3888888888889"/>
        <n v="1723.666666666667"/>
        <n v="24862.08333333333"/>
        <n v="127.11111111111114"/>
        <n v="1252.1111111111109"/>
        <n v="250.72222222222229"/>
        <n v="2311.333333333334"/>
        <n v="10417.194444444449"/>
        <n v="336.861111111111"/>
        <n v="1733.7777777777783"/>
        <n v="6448.5"/>
        <n v="141.83333333333337"/>
        <n v="776.3333333333335"/>
        <n v="10683.388888888887"/>
        <n v="265.888888888889"/>
        <n v="1630.2777777777783"/>
        <n v="995.25"/>
        <n v="141.41666666666663"/>
        <n v="4005.0"/>
        <n v="523.25"/>
        <n v="3923.0"/>
        <n v="497.83333333333326"/>
        <n v="74.44444444444443"/>
        <n v="96.88888888888886"/>
        <n v="4151.638888888889"/>
        <n v="689.3888888888891"/>
        <n v="2107.2777777777783"/>
        <n v="337.638888888889"/>
        <n v="127.63888888888886"/>
        <n v="212.94444444444446"/>
        <n v="135.63888888888886"/>
        <n v="72.75"/>
        <n v="260.361111111111"/>
        <n v="382.7222222222222"/>
        <n v="267.611111111111"/>
        <n v="157.91666666666663"/>
        <n v="2403.361111111112"/>
        <n v="3687.0"/>
        <n v="3564.1944444444434"/>
        <n v="7448.416666666668"/>
        <n v="839.3888888888891"/>
        <n v="1053.0"/>
        <n v="2288.6944444444443"/>
        <n v="567.972222222222"/>
        <n v="3105.25"/>
        <n v="9836.055555555551"/>
        <n v="1701.4444444444443"/>
        <n v="2382.638888888888"/>
        <n v="1539.3611111111113"/>
        <n v="400.9722222222222"/>
        <n v="3490.666666666666"/>
        <n v="1283.1388888888891"/>
        <n v="1134.7777777777778"/>
        <n v="3635.0277777777774"/>
        <n v="2546.4444444444443"/>
        <n v="5081.75"/>
        <n v="1828.8611111111113"/>
        <n v="1172.0"/>
        <n v="1131.0277777777778"/>
        <n v="800.0"/>
        <n v="2624.916666666666"/>
        <n v="1072.194444444444"/>
        <n v="1575.416666666667"/>
        <n v="1791.4722222222217"/>
        <n v="1240.0277777777778"/>
        <n v="803.3333333333335"/>
        <n v="1015.2222222222222"/>
        <n v="3798.75"/>
        <n v="2245.4722222222217"/>
        <n v="2052.0277777777783"/>
        <n v="5435.5"/>
        <n v="4132.75"/>
        <n v="308.0277777777777"/>
        <n v="356.8611111111111"/>
        <n v="254.41666666666663"/>
        <n v="459.0"/>
        <n v="845.9722222222222"/>
        <n v="596.527777777778"/>
        <n v="663.1111111111111"/>
        <n v="404.2777777777778"/>
        <n v="665.0"/>
        <n v="243.66666666666663"/>
        <n v="1068.8611111111109"/>
        <n v="1874.7222222222217"/>
        <n v="1373.166666666667"/>
        <n v="2114.0555555555557"/>
        <n v="3538.333333333334"/>
        <n v="2261.25"/>
        <n v="75.30555555555557"/>
        <n v="42.97222222222223"/>
      </sharedItems>
    </cacheField>
    <cacheField name="Số lượng nhập kho đề xuất" numFmtId="0">
      <sharedItems containsSemiMixedTypes="0" containsString="0" containsNumber="1" containsInteger="1">
        <n v="96.0"/>
        <n v="170.0"/>
        <n v="1408.0"/>
        <n v="64.0"/>
        <n v="457.0"/>
        <n v="14.0"/>
        <n v="46.0"/>
        <n v="274.0"/>
        <n v="33.0"/>
        <n v="398.0"/>
        <n v="32.0"/>
        <n v="686.0"/>
        <n v="1329.0"/>
        <n v="416.0"/>
        <n v="142.0"/>
        <n v="640.0"/>
        <n v="256.0"/>
        <n v="832.0"/>
        <n v="128.0"/>
        <n v="168.0"/>
        <n v="215.0"/>
        <n v="384.0"/>
        <n v="8640.0"/>
        <n v="576.0"/>
        <n v="960.0"/>
        <n v="1706.0"/>
        <n v="288.0"/>
        <n v="563.0"/>
        <n v="2429.0"/>
        <n v="589.0"/>
        <n v="1098.0"/>
        <n v="509.0"/>
        <n v="734.0"/>
        <n v="1397.0"/>
        <n v="947.0"/>
        <n v="1152.0"/>
        <n v="352.0"/>
        <n v="1510.0"/>
        <n v="115.0"/>
        <n v="1216.0"/>
        <n v="202.0"/>
        <n v="643.0"/>
        <n v="205.0"/>
        <n v="826.0"/>
        <n v="6.0"/>
        <n v="138.0"/>
        <n v="122.0"/>
        <n v="52.0"/>
        <n v="38.0"/>
        <n v="473.0"/>
        <n v="50.0"/>
        <n v="4.0"/>
        <n v="37.0"/>
        <n v="240.0"/>
        <n v="22.0"/>
        <n v="144.0"/>
        <n v="1856.0"/>
        <n v="779.0"/>
        <n v="2131.0"/>
        <n v="1920.0"/>
        <n v="402.0"/>
        <n v="2150.0"/>
        <n v="922.0"/>
        <n v="1382.0"/>
        <n v="307.0"/>
        <n v="86.0"/>
        <n v="1.0"/>
        <n v="600.0"/>
        <n v="24.0"/>
        <n v="56.0"/>
        <n v="7.0"/>
        <n v="400.0"/>
        <n v="48.0"/>
        <n v="8.0"/>
        <n v="40.0"/>
        <n v="339.0"/>
        <n v="3.0"/>
        <n v="123.0"/>
        <n v="116.0"/>
        <n v="61.0"/>
        <n v="141.0"/>
        <n v="614.0"/>
        <n v="198.0"/>
        <n v="43.0"/>
        <n v="1690.0"/>
        <n v="2458.0"/>
        <n v="188.0"/>
        <n v="394.0"/>
        <n v="314.0"/>
        <n v="446.0"/>
        <n v="698.0"/>
        <n v="1904.0"/>
        <n v="1597.0"/>
        <n v="390.0"/>
        <n v="701.0"/>
        <n v="4771.0"/>
        <n v="3261.0"/>
        <n v="1898.0"/>
        <n v="1088.0"/>
        <n v="378.0"/>
        <n v="1926.0"/>
        <n v="461.0"/>
        <n v="234.0"/>
        <n v="250.0"/>
        <n v="1602.0"/>
        <n v="885.0"/>
        <n v="109.0"/>
        <n v="171.0"/>
        <n v="512.0"/>
        <n v="99.0"/>
        <n v="341.0"/>
        <n v="1030.0"/>
        <n v="493.0"/>
        <n v="136.0"/>
        <n v="107.0"/>
        <n v="65.0"/>
        <n v="301.0"/>
        <n v="134.0"/>
        <n v="192.0"/>
        <n v="80.0"/>
        <n v="1696.0"/>
        <n v="93.0"/>
        <n v="624.0"/>
        <n v="275.0"/>
        <n v="1232.0"/>
        <n v="864.0"/>
        <n v="1040.0"/>
        <n v="310.0"/>
        <n v="1555.0"/>
        <n v="387.0"/>
        <n v="1066.0"/>
        <n v="13.0"/>
        <n v="973.0"/>
        <n v="195.0"/>
        <n v="1421.0"/>
        <n v="9.0"/>
        <n v="1142.0"/>
        <n v="781.0"/>
        <n v="586.0"/>
        <n v="230.0"/>
        <n v="470.0"/>
        <n v="272.0"/>
        <n v="88.0"/>
        <n v="182.0"/>
        <n v="125.0"/>
        <n v="110.0"/>
        <n v="157.0"/>
        <n v="85.0"/>
        <n v="780.0"/>
        <n v="149.0"/>
        <n v="77.0"/>
        <n v="41.0"/>
        <n v="928.0"/>
        <n v="16.0"/>
        <n v="1376.0"/>
        <n v="19.0"/>
        <n v="406.0"/>
        <n v="1386.0"/>
        <n v="429.0"/>
        <n v="992.0"/>
        <n v="502.0"/>
        <n v="381.0"/>
        <n v="1155.0"/>
        <n v="211.0"/>
        <n v="58.0"/>
        <n v="298.0"/>
        <n v="382.0"/>
        <n v="877.0"/>
        <n v="1075.0"/>
        <n v="1749.0"/>
        <n v="2504.0"/>
        <n v="979.0"/>
        <n v="221.0"/>
        <n v="179.0"/>
        <n v="842.0"/>
        <n v="1146.0"/>
        <n v="517.0"/>
        <n v="21.0"/>
        <n v="284.0"/>
        <n v="53.0"/>
        <n v="363.0"/>
        <n v="5.0"/>
        <n v="49.0"/>
        <n v="90.0"/>
        <n v="850.0"/>
        <n v="693.0"/>
        <n v="8798.0"/>
        <n v="957.0"/>
        <n v="5488.0"/>
        <n v="618.0"/>
        <n v="2656.0"/>
        <n v="5413.0"/>
        <n v="2646.0"/>
        <n v="3492.0"/>
        <n v="1353.0"/>
        <n v="2.0"/>
        <n v="10.0"/>
        <n v="62.0"/>
        <n v="218.0"/>
        <n v="471.0"/>
        <n v="254.0"/>
        <n v="235.0"/>
        <n v="501.0"/>
        <n v="432.0"/>
        <n v="518.0"/>
        <n v="364.0"/>
        <n v="2966.0"/>
        <n v="160.0"/>
        <n v="768.0"/>
        <n v="3072.0"/>
        <n v="1280.0"/>
        <n v="5942.0"/>
        <n v="925.0"/>
        <n v="554.0"/>
        <n v="180.0"/>
        <n v="320.0"/>
        <n v="261.0"/>
        <n v="380.0"/>
        <n v="221794.0"/>
        <n v="215696.0"/>
        <n v="82937.0"/>
        <n v="55256.0"/>
        <n v="48150.0"/>
        <n v="45861.0"/>
        <n v="37453.0"/>
        <n v="28934.0"/>
        <n v="25899.0"/>
        <n v="22519.0"/>
        <n v="20127.0"/>
        <n v="18751.0"/>
        <n v="14826.0"/>
        <n v="14791.0"/>
        <n v="14108.0"/>
        <n v="11739.0"/>
        <n v="11092.0"/>
        <n v="10940.0"/>
        <n v="10663.0"/>
        <n v="10542.0"/>
        <n v="10426.0"/>
        <n v="9981.0"/>
        <n v="9869.0"/>
        <n v="9655.0"/>
        <n v="9428.0"/>
        <n v="9248.0"/>
        <n v="9088.0"/>
        <n v="9065.0"/>
        <n v="8533.0"/>
        <n v="8312.0"/>
        <n v="8309.0"/>
        <n v="8121.0"/>
        <n v="7779.0"/>
        <n v="7490.0"/>
        <n v="7423.0"/>
        <n v="7335.0"/>
        <n v="7227.0"/>
        <n v="7105.0"/>
        <n v="7084.0"/>
        <n v="6982.0"/>
        <n v="6933.0"/>
        <n v="6746.0"/>
        <n v="6722.0"/>
        <n v="6651.0"/>
        <n v="6612.0"/>
        <n v="6557.0"/>
        <n v="6551.0"/>
        <n v="6527.0"/>
        <n v="6430.0"/>
        <n v="6407.0"/>
        <n v="6334.0"/>
        <n v="6227.0"/>
        <n v="6116.0"/>
        <n v="6027.0"/>
        <n v="5795.0"/>
        <n v="5727.0"/>
        <n v="5590.0"/>
        <n v="5493.0"/>
        <n v="5330.0"/>
        <n v="5231.0"/>
        <n v="5161.0"/>
        <n v="5047.0"/>
        <n v="4853.0"/>
        <n v="4782.0"/>
        <n v="4761.0"/>
        <n v="4724.0"/>
        <n v="4723.0"/>
        <n v="4653.0"/>
        <n v="4644.0"/>
        <n v="4606.0"/>
        <n v="4572.0"/>
        <n v="4419.0"/>
        <n v="4375.0"/>
        <n v="4369.0"/>
        <n v="4361.0"/>
        <n v="4313.0"/>
        <n v="4297.0"/>
        <n v="4252.0"/>
        <n v="4247.0"/>
        <n v="4230.0"/>
        <n v="4190.0"/>
        <n v="4181.0"/>
        <n v="4172.0"/>
        <n v="4167.0"/>
        <n v="4029.0"/>
        <n v="3983.0"/>
        <n v="3968.0"/>
        <n v="3967.0"/>
        <n v="3939.0"/>
        <n v="3934.0"/>
        <n v="3922.0"/>
        <n v="3908.0"/>
        <n v="3826.0"/>
        <n v="3754.0"/>
        <n v="3686.0"/>
        <n v="3622.0"/>
        <n v="3572.0"/>
        <n v="3520.0"/>
        <n v="3489.0"/>
        <n v="3479.0"/>
        <n v="3422.0"/>
        <n v="3377.0"/>
        <n v="3316.0"/>
        <n v="3300.0"/>
        <n v="3271.0"/>
        <n v="3214.0"/>
        <n v="3211.0"/>
        <n v="3197.0"/>
        <n v="3105.0"/>
        <n v="3069.0"/>
        <n v="3066.0"/>
        <n v="3054.0"/>
        <n v="3025.0"/>
        <n v="3002.0"/>
        <n v="2995.0"/>
        <n v="2988.0"/>
        <n v="2982.0"/>
        <n v="2977.0"/>
        <n v="2973.0"/>
        <n v="2934.0"/>
        <n v="2921.0"/>
        <n v="2912.0"/>
        <n v="2865.0"/>
        <n v="2856.0"/>
        <n v="2843.0"/>
        <n v="2837.0"/>
        <n v="2794.0"/>
        <n v="2789.0"/>
        <n v="2788.0"/>
        <n v="2777.0"/>
        <n v="2773.0"/>
        <n v="2765.0"/>
        <n v="2745.0"/>
        <n v="2720.0"/>
        <n v="2705.0"/>
        <n v="2696.0"/>
        <n v="2666.0"/>
        <n v="2651.0"/>
        <n v="2645.0"/>
        <n v="2627.0"/>
        <n v="2604.0"/>
        <n v="2595.0"/>
        <n v="2583.0"/>
        <n v="2558.0"/>
        <n v="2555.0"/>
        <n v="2535.0"/>
        <n v="2501.0"/>
        <n v="2494.0"/>
        <n v="2393.0"/>
        <n v="2386.0"/>
        <n v="2368.0"/>
        <n v="2338.0"/>
        <n v="2322.0"/>
        <n v="2285.0"/>
        <n v="2266.0"/>
        <n v="2257.0"/>
        <n v="2253.0"/>
        <n v="2207.0"/>
        <n v="2206.0"/>
        <n v="2204.0"/>
        <n v="2199.0"/>
        <n v="2186.0"/>
        <n v="2161.0"/>
        <n v="2147.0"/>
        <n v="2118.0"/>
        <n v="2102.0"/>
        <n v="2101.0"/>
        <n v="2097.0"/>
        <n v="2095.0"/>
        <n v="2081.0"/>
        <n v="2067.0"/>
        <n v="2056.0"/>
        <n v="2048.0"/>
        <n v="2023.0"/>
        <n v="2019.0"/>
        <n v="2008.0"/>
        <n v="1995.0"/>
        <n v="1964.0"/>
        <n v="1936.0"/>
        <n v="1935.0"/>
        <n v="1928.0"/>
        <n v="1924.0"/>
        <n v="1917.0"/>
        <n v="1913.0"/>
        <n v="1902.0"/>
        <n v="1900.0"/>
        <n v="1875.0"/>
        <n v="1872.0"/>
        <n v="1865.0"/>
        <n v="1838.0"/>
        <n v="1836.0"/>
        <n v="1834.0"/>
        <n v="1824.0"/>
        <n v="1811.0"/>
        <n v="1782.0"/>
        <n v="1781.0"/>
        <n v="1748.0"/>
        <n v="1739.0"/>
        <n v="1712.0"/>
        <n v="1704.0"/>
        <n v="1702.0"/>
        <n v="1664.0"/>
        <n v="1663.0"/>
        <n v="1657.0"/>
        <n v="1654.0"/>
        <n v="1640.0"/>
        <n v="1635.0"/>
        <n v="1632.0"/>
        <n v="1615.0"/>
        <n v="1612.0"/>
        <n v="1605.0"/>
        <n v="1595.0"/>
        <n v="1590.0"/>
        <n v="1586.0"/>
        <n v="1581.0"/>
        <n v="1572.0"/>
        <n v="1563.0"/>
        <n v="1558.0"/>
        <n v="1546.0"/>
        <n v="1523.0"/>
        <n v="1502.0"/>
        <n v="1500.0"/>
        <n v="1452.0"/>
        <n v="1447.0"/>
        <n v="1445.0"/>
        <n v="1442.0"/>
        <n v="1440.0"/>
        <n v="1407.0"/>
        <n v="1406.0"/>
        <n v="1400.0"/>
        <n v="1396.0"/>
        <n v="1389.0"/>
        <n v="1374.0"/>
        <n v="1359.0"/>
        <n v="1340.0"/>
        <n v="1327.0"/>
        <n v="1294.0"/>
        <n v="1287.0"/>
        <n v="1247.0"/>
        <n v="1239.0"/>
        <n v="1228.0"/>
        <n v="1221.0"/>
        <n v="1214.0"/>
        <n v="1209.0"/>
        <n v="1198.0"/>
        <n v="1185.0"/>
        <n v="1177.0"/>
        <n v="1176.0"/>
        <n v="1169.0"/>
        <n v="1138.0"/>
        <n v="1126.0"/>
        <n v="1122.0"/>
        <n v="1118.0"/>
        <n v="1102.0"/>
        <n v="1101.0"/>
        <n v="1100.0"/>
        <n v="1087.0"/>
        <n v="1081.0"/>
        <n v="1070.0"/>
        <n v="1055.0"/>
        <n v="1047.0"/>
        <n v="1046.0"/>
        <n v="1045.0"/>
        <n v="1037.0"/>
        <n v="1029.0"/>
        <n v="1022.0"/>
        <n v="1020.0"/>
        <n v="1008.0"/>
        <n v="1006.0"/>
        <n v="997.0"/>
        <n v="990.0"/>
        <n v="984.0"/>
        <n v="975.0"/>
        <n v="963.0"/>
        <n v="949.0"/>
        <n v="937.0"/>
        <n v="930.0"/>
        <n v="927.0"/>
        <n v="926.0"/>
        <n v="920.0"/>
        <n v="919.0"/>
        <n v="918.0"/>
        <n v="898.0"/>
        <n v="880.0"/>
        <n v="874.0"/>
        <n v="852.0"/>
        <n v="851.0"/>
        <n v="849.0"/>
        <n v="845.0"/>
        <n v="825.0"/>
        <n v="818.0"/>
        <n v="817.0"/>
        <n v="816.0"/>
        <n v="801.0"/>
        <n v="777.0"/>
        <n v="772.0"/>
        <n v="769.0"/>
        <n v="760.0"/>
        <n v="758.0"/>
        <n v="748.0"/>
        <n v="740.0"/>
        <n v="738.0"/>
        <n v="727.0"/>
        <n v="724.0"/>
        <n v="716.0"/>
        <n v="715.0"/>
        <n v="710.0"/>
        <n v="709.0"/>
        <n v="707.0"/>
        <n v="706.0"/>
        <n v="690.0"/>
        <n v="685.0"/>
        <n v="664.0"/>
        <n v="651.0"/>
        <n v="650.0"/>
        <n v="649.0"/>
        <n v="647.0"/>
        <n v="644.0"/>
        <n v="633.0"/>
        <n v="629.0"/>
        <n v="622.0"/>
        <n v="621.0"/>
        <n v="617.0"/>
        <n v="608.0"/>
        <n v="607.0"/>
        <n v="605.0"/>
        <n v="591.0"/>
        <n v="590.0"/>
        <n v="584.0"/>
        <n v="582.0"/>
        <n v="580.0"/>
        <n v="578.0"/>
        <n v="577.0"/>
        <n v="575.0"/>
        <n v="573.0"/>
        <n v="568.0"/>
        <n v="565.0"/>
        <n v="550.0"/>
        <n v="549.0"/>
        <n v="543.0"/>
        <n v="537.0"/>
        <n v="528.0"/>
        <n v="527.0"/>
        <n v="523.0"/>
        <n v="511.0"/>
        <n v="507.0"/>
        <n v="500.0"/>
        <n v="474.0"/>
        <n v="472.0"/>
        <n v="465.0"/>
        <n v="456.0"/>
        <n v="455.0"/>
        <n v="451.0"/>
        <n v="449.0"/>
        <n v="438.0"/>
        <n v="434.0"/>
        <n v="430.0"/>
        <n v="426.0"/>
        <n v="421.0"/>
        <n v="414.0"/>
        <n v="413.0"/>
        <n v="411.0"/>
        <n v="410.0"/>
        <n v="401.0"/>
        <n v="389.0"/>
        <n v="386.0"/>
        <n v="383.0"/>
        <n v="375.0"/>
        <n v="372.0"/>
        <n v="369.0"/>
        <n v="367.0"/>
        <n v="366.0"/>
        <n v="358.0"/>
        <n v="357.0"/>
        <n v="356.0"/>
        <n v="355.0"/>
        <n v="353.0"/>
        <n v="350.0"/>
        <n v="349.0"/>
        <n v="344.0"/>
        <n v="343.0"/>
        <n v="338.0"/>
        <n v="329.0"/>
        <n v="324.0"/>
        <n v="321.0"/>
        <n v="312.0"/>
        <n v="303.0"/>
        <n v="302.0"/>
        <n v="291.0"/>
        <n v="290.0"/>
        <n v="287.0"/>
        <n v="279.0"/>
        <n v="268.0"/>
        <n v="260.0"/>
        <n v="255.0"/>
        <n v="249.0"/>
        <n v="246.0"/>
        <n v="242.0"/>
        <n v="239.0"/>
        <n v="237.0"/>
        <n v="236.0"/>
        <n v="231.0"/>
        <n v="227.0"/>
        <n v="223.0"/>
        <n v="222.0"/>
        <n v="216.0"/>
        <n v="214.0"/>
        <n v="213.0"/>
        <n v="208.0"/>
        <n v="191.0"/>
        <n v="189.0"/>
        <n v="186.0"/>
        <n v="177.0"/>
        <n v="173.0"/>
        <n v="172.0"/>
        <n v="167.0"/>
        <n v="163.0"/>
        <n v="162.0"/>
        <n v="159.0"/>
        <n v="154.0"/>
        <n v="153.0"/>
        <n v="152.0"/>
        <n v="150.0"/>
        <n v="148.0"/>
        <n v="147.0"/>
        <n v="143.0"/>
        <n v="140.0"/>
        <n v="139.0"/>
        <n v="137.0"/>
        <n v="135.0"/>
        <n v="133.0"/>
        <n v="131.0"/>
        <n v="129.0"/>
        <n v="124.0"/>
        <n v="120.0"/>
        <n v="118.0"/>
        <n v="117.0"/>
        <n v="106.0"/>
        <n v="105.0"/>
        <n v="104.0"/>
        <n v="103.0"/>
        <n v="102.0"/>
        <n v="101.0"/>
        <n v="100.0"/>
        <n v="94.0"/>
        <n v="91.0"/>
        <n v="89.0"/>
        <n v="82.0"/>
        <n v="81.0"/>
        <n v="74.0"/>
        <n v="70.0"/>
        <n v="69.0"/>
        <n v="68.0"/>
        <n v="67.0"/>
        <n v="66.0"/>
        <n v="63.0"/>
        <n v="60.0"/>
        <n v="55.0"/>
        <n v="51.0"/>
        <n v="47.0"/>
        <n v="35.0"/>
        <n v="31.0"/>
        <n v="26.0"/>
        <n v="25.0"/>
        <n v="18.0"/>
        <n v="17.0"/>
        <n v="108.0"/>
        <n v="97.0"/>
        <n v="395.0"/>
        <n v="2871.0"/>
        <n v="3247.0"/>
        <n v="2041.0"/>
        <n v="1112.0"/>
        <n v="3241.0"/>
        <n v="2978.0"/>
        <n v="3334.0"/>
        <n v="1676.0"/>
        <n v="2098.0"/>
        <n v="1840.0"/>
        <n v="1653.0"/>
        <n v="1009.0"/>
        <n v="875.0"/>
        <n v="2189.0"/>
        <n v="637.0"/>
        <n v="373.0"/>
        <n v="749.0"/>
        <n v="654.0"/>
        <n v="515.0"/>
        <n v="453.0"/>
        <n v="746.0"/>
        <n v="1268.0"/>
        <n v="594.0"/>
        <n v="820.0"/>
        <n v="262.0"/>
        <n v="553.0"/>
        <n v="3406.0"/>
        <n v="1430.0"/>
        <n v="3550.0"/>
        <n v="2485.0"/>
        <n v="3536.0"/>
        <n v="1484.0"/>
        <n v="3782.0"/>
        <n v="2695.0"/>
        <n v="2557.0"/>
        <n v="2040.0"/>
        <n v="2140.0"/>
        <n v="2424.0"/>
        <n v="2551.0"/>
        <n v="1735.0"/>
        <n v="4897.0"/>
        <n v="3501.0"/>
        <n v="2130.0"/>
        <n v="1967.0"/>
        <n v="39150.0"/>
        <n v="1203.0"/>
        <n v="6064.0"/>
        <n v="29564.0"/>
        <n v="5138.0"/>
        <n v="52797.0"/>
        <n v="1288.0"/>
        <n v="8294.0"/>
        <n v="27495.0"/>
        <n v="887.0"/>
        <n v="4663.0"/>
        <n v="11116.0"/>
        <n v="1226.0"/>
        <n v="9315.0"/>
        <n v="4669.0"/>
        <n v="713.0"/>
        <n v="4787.0"/>
        <n v="6395.0"/>
        <n v="498.0"/>
        <n v="4103.0"/>
        <n v="11945.0"/>
        <n v="1271.0"/>
        <n v="10361.0"/>
        <n v="4643.0"/>
        <n v="673.0"/>
        <n v="2317.0"/>
        <n v="7754.0"/>
        <n v="1273.0"/>
        <n v="5289.0"/>
        <n v="6881.0"/>
        <n v="3873.0"/>
        <n v="6202.0"/>
        <n v="3109.0"/>
        <n v="4846.0"/>
        <n v="755.0"/>
        <n v="4502.0"/>
        <n v="18847.0"/>
        <n v="3065.0"/>
        <n v="18262.0"/>
        <n v="345.0"/>
        <n v="2692.0"/>
        <n v="25952.0"/>
        <n v="2809.0"/>
        <n v="6343.0"/>
        <n v="3086.0"/>
        <n v="6471.0"/>
        <n v="4105.0"/>
        <n v="32121.0"/>
        <n v="1235.0"/>
        <n v="5705.0"/>
        <n v="5447.0"/>
        <n v="867.0"/>
        <n v="3451.0"/>
        <n v="1606.0"/>
        <n v="4277.0"/>
        <n v="238.0"/>
        <n v="1890.0"/>
        <n v="126.0"/>
        <n v="265.0"/>
        <n v="1671.0"/>
        <n v="814.0"/>
        <n v="114.0"/>
        <n v="638.0"/>
        <n v="717.0"/>
        <n v="422.0"/>
        <n v="13516.0"/>
        <n v="496.0"/>
        <n v="10199.0"/>
        <n v="482.0"/>
        <n v="1520.0"/>
        <n v="6761.0"/>
        <n v="258.0"/>
        <n v="17744.0"/>
        <n v="737.0"/>
        <n v="3907.0"/>
        <n v="219.0"/>
        <n v="757.0"/>
        <n v="165.0"/>
        <n v="806.0"/>
        <n v="6220.0"/>
        <n v="309.0"/>
        <n v="2783.0"/>
        <n v="132.0"/>
        <n v="1167.0"/>
        <n v="2270.0"/>
        <n v="247.0"/>
        <n v="1149.0"/>
        <n v="944.0"/>
        <n v="886.0"/>
        <n v="494.0"/>
        <n v="1257.0"/>
        <n v="2402.0"/>
        <n v="892.0"/>
        <n v="2526.0"/>
        <n v="3952.0"/>
        <n v="8369.0"/>
        <n v="5347.0"/>
        <n v="8288.0"/>
        <n v="3874.0"/>
        <n v="8155.0"/>
        <n v="5042.0"/>
        <n v="2546.0"/>
        <n v="5677.0"/>
        <n v="2572.0"/>
        <n v="3783.0"/>
        <n v="5370.0"/>
        <n v="3249.0"/>
        <n v="559.0"/>
        <n v="1284.0"/>
        <n v="953.0"/>
        <n v="1434.0"/>
        <n v="1238.0"/>
        <n v="4349.0"/>
        <n v="744.0"/>
        <n v="2750.0"/>
        <n v="2927.0"/>
        <n v="3012.0"/>
        <n v="5293.0"/>
        <n v="3868.0"/>
        <n v="1478.0"/>
        <n v="4052.0"/>
        <n v="2083.0"/>
        <n v="1881.0"/>
        <n v="3244.0"/>
        <n v="4240.0"/>
        <n v="1987.0"/>
        <n v="17587.0"/>
        <n v="21812.0"/>
        <n v="25071.0"/>
        <n v="14188.0"/>
        <n v="31274.0"/>
        <n v="11538.0"/>
        <n v="22698.0"/>
        <n v="2793.0"/>
        <n v="5373.0"/>
        <n v="3858.0"/>
        <n v="3509.0"/>
        <n v="2075.0"/>
        <n v="2124.0"/>
        <n v="797.0"/>
        <n v="1048.0"/>
        <n v="514.0"/>
        <n v="1565.0"/>
        <n v="1472.0"/>
        <n v="2591.0"/>
        <n v="612.0"/>
        <n v="787.0"/>
        <n v="1161.0"/>
        <n v="1809.0"/>
        <n v="2341.0"/>
        <n v="1116.0"/>
        <n v="977.0"/>
        <n v="1270.0"/>
        <n v="269.0"/>
        <n v="890.0"/>
        <n v="2214.0"/>
        <n v="2301.0"/>
        <n v="3198.0"/>
        <n v="2349.0"/>
        <n v="1662.0"/>
        <n v="2406.0"/>
        <n v="4874.0"/>
        <n v="5509.0"/>
        <n v="4228.0"/>
        <n v="5645.0"/>
        <n v="6077.0"/>
        <n v="3710.0"/>
        <n v="3621.0"/>
        <n v="1537.0"/>
        <n v="3329.0"/>
        <n v="2096.0"/>
        <n v="1709.0"/>
        <n v="2190.0"/>
        <n v="1403.0"/>
        <n v="2942.0"/>
        <n v="2512.0"/>
        <n v="1789.0"/>
        <n v="1528.0"/>
        <n v="1594.0"/>
        <n v="1360.0"/>
        <n v="3457.0"/>
        <n v="1448.0"/>
        <n v="5854.0"/>
        <n v="1072.0"/>
        <n v="322.0"/>
        <n v="934.0"/>
        <n v="404.0"/>
        <n v="1812.0"/>
        <n v="1821.0"/>
        <n v="1888.0"/>
        <n v="2021.0"/>
        <n v="1229.0"/>
        <n v="775.0"/>
        <n v="1308.0"/>
        <n v="981.0"/>
        <n v="1041.0"/>
        <n v="1503.0"/>
        <n v="1398.0"/>
        <n v="1629.0"/>
        <n v="691.0"/>
        <n v="3906.0"/>
        <n v="3796.0"/>
        <n v="5472.0"/>
        <n v="8787.0"/>
        <n v="3620.0"/>
        <n v="5116.0"/>
        <n v="5758.0"/>
        <n v="3822.0"/>
        <n v="7764.0"/>
        <n v="4199.0"/>
        <n v="2184.0"/>
        <n v="6387.0"/>
        <n v="2263.0"/>
        <n v="3111.0"/>
        <n v="2269.0"/>
        <n v="20334.0"/>
        <n v="12876.0"/>
        <n v="12839.0"/>
        <n v="1283.0"/>
        <n v="6991.0"/>
        <n v="428.0"/>
        <n v="1253.0"/>
        <n v="6224.0"/>
        <n v="26768.0"/>
        <n v="4595.0"/>
        <n v="3944.0"/>
        <n v="15798.0"/>
        <n v="7442.0"/>
        <n v="316.0"/>
        <n v="762.0"/>
        <n v="12859.0"/>
        <n v="681.0"/>
        <n v="1494.0"/>
        <n v="6865.0"/>
        <n v="808.0"/>
        <n v="5970.0"/>
        <n v="241.0"/>
        <n v="17563.0"/>
        <n v="2033.0"/>
        <n v="5280.0"/>
        <n v="551.0"/>
        <n v="6134.0"/>
        <n v="4118.0"/>
        <n v="683.0"/>
        <n v="4426.0"/>
        <n v="1151.0"/>
        <n v="8464.0"/>
        <n v="6608.0"/>
        <n v="3264.0"/>
        <n v="3126.0"/>
        <n v="1474.0"/>
        <n v="207.0"/>
        <n v="24436.0"/>
        <n v="840.0"/>
        <n v="1770.0"/>
        <n v="232.0"/>
        <n v="3171.0"/>
        <n v="2091.0"/>
        <n v="1365.0"/>
        <n v="3191.0"/>
        <n v="1258.0"/>
        <n v="4229.0"/>
        <n v="1868.0"/>
        <n v="251.0"/>
        <n v="3423.0"/>
        <n v="2037.0"/>
        <n v="3837.0"/>
        <n v="1200.0"/>
        <n v="280.0"/>
        <n v="308.0"/>
        <n v="370.0"/>
        <n v="766.0"/>
        <n v="1703.0"/>
        <n v="3364.0"/>
        <n v="2831.0"/>
        <n v="1462.0"/>
        <n v="2329.0"/>
        <n v="587.0"/>
        <n v="1104.0"/>
        <n v="1853.0"/>
        <n v="3302.0"/>
        <n v="1191.0"/>
        <n v="1225.0"/>
        <n v="155.0"/>
        <n v="257.0"/>
        <n v="197.0"/>
        <n v="2072.0"/>
        <n v="1074.0"/>
        <n v="711.0"/>
        <n v="418.0"/>
        <n v="1164.0"/>
        <n v="596.0"/>
        <n v="632.0"/>
        <n v="27763.0"/>
        <n v="904.0"/>
        <n v="3790.0"/>
        <n v="27730.0"/>
        <n v="7172.0"/>
        <n v="12195.0"/>
        <n v="11686.0"/>
        <n v="11591.0"/>
        <n v="2497.0"/>
        <n v="9376.0"/>
        <n v="8253.0"/>
        <n v="6862.0"/>
        <n v="11594.0"/>
        <n v="7196.0"/>
        <n v="8394.0"/>
        <n v="5479.0"/>
        <n v="7328.0"/>
        <n v="6103.0"/>
        <n v="10419.0"/>
        <n v="7059.0"/>
        <n v="6886.0"/>
        <n v="7358.0"/>
        <n v="14199.0"/>
        <n v="8757.0"/>
        <n v="9408.0"/>
        <n v="7917.0"/>
        <n v="4274.0"/>
        <n v="2751.0"/>
        <n v="968.0"/>
        <n v="1364.0"/>
        <n v="1864.0"/>
        <n v="1103.0"/>
        <n v="1618.0"/>
        <n v="1501.0"/>
        <n v="12580.0"/>
        <n v="7123.0"/>
        <n v="10567.0"/>
        <n v="9956.0"/>
        <n v="18861.0"/>
        <n v="12705.0"/>
        <n v="13265.0"/>
        <n v="9432.0"/>
        <n v="10552.0"/>
        <n v="7361.0"/>
        <n v="9178.0"/>
        <n v="7366.0"/>
        <n v="8651.0"/>
        <n v="7320.0"/>
        <n v="5264.0"/>
        <n v="9863.0"/>
        <n v="4071.0"/>
        <n v="3049.0"/>
        <n v="3209.0"/>
        <n v="2698.0"/>
        <n v="4246.0"/>
        <n v="8759.0"/>
        <n v="9438.0"/>
        <n v="4971.0"/>
        <n v="12583.0"/>
        <n v="14943.0"/>
        <n v="10893.0"/>
        <n v="7453.0"/>
        <n v="3295.0"/>
        <n v="4366.0"/>
        <n v="8384.0"/>
        <n v="9217.0"/>
        <n v="1910.0"/>
        <n v="2563.0"/>
        <n v="4934.0"/>
        <n v="2506.0"/>
        <n v="2375.0"/>
        <n v="1172.0"/>
        <n v="263.0"/>
        <n v="1134.0"/>
        <n v="2784.0"/>
        <n v="4390.0"/>
        <n v="2238.0"/>
        <n v="2534.0"/>
        <n v="3317.0"/>
        <n v="1925.0"/>
        <n v="5655.0"/>
        <n v="3893.0"/>
        <n v="6230.0"/>
        <n v="4318.0"/>
        <n v="5780.0"/>
        <n v="4907.0"/>
        <n v="1464.0"/>
        <n v="1293.0"/>
        <n v="2600.0"/>
        <n v="277.0"/>
        <n v="703.0"/>
        <n v="3248.0"/>
        <n v="2516.0"/>
        <n v="3527.0"/>
        <n v="4273.0"/>
        <n v="1371.0"/>
        <n v="3801.0"/>
        <n v="3164.0"/>
        <n v="2853.0"/>
        <n v="962.0"/>
        <n v="2941.0"/>
        <n v="1437.0"/>
        <n v="3125.0"/>
        <n v="1388.0"/>
        <n v="1306.0"/>
        <n v="1585.0"/>
        <n v="531.0"/>
        <n v="948.0"/>
        <n v="220.0"/>
        <n v="439.0"/>
        <n v="657.0"/>
        <n v="1714.0"/>
        <n v="3653.0"/>
        <n v="3950.0"/>
        <n v="8195.0"/>
        <n v="9010.0"/>
        <n v="4593.0"/>
        <n v="4227.0"/>
        <n v="1999.0"/>
        <n v="10015.0"/>
        <n v="6493.0"/>
        <n v="4758.0"/>
        <n v="15065.0"/>
        <n v="337442.0"/>
        <n v="26458.0"/>
        <n v="7790.0"/>
        <n v="183.0"/>
        <n v="15.0"/>
        <n v="285.0"/>
        <n v="203654.0"/>
        <n v="248655.0"/>
        <n v="50815.0"/>
        <n v="217952.0"/>
        <n v="17106.0"/>
        <n v="9506.0"/>
        <n v="4792.0"/>
        <n v="4634.0"/>
        <n v="4175.0"/>
        <n v="4049.0"/>
        <n v="6985.0"/>
        <n v="8565.0"/>
        <n v="4577.0"/>
        <n v="6316.0"/>
        <n v="4218.0"/>
        <n v="3920.0"/>
        <n v="4781.0"/>
        <n v="3516.0"/>
        <n v="5383.0"/>
        <n v="3676.0"/>
        <n v="4837.0"/>
        <n v="4130.0"/>
        <n v="4840.0"/>
        <n v="5244.0"/>
        <n v="21206.0"/>
        <n v="714.0"/>
        <n v="3602.0"/>
        <n v="15417.0"/>
        <n v="610.0"/>
        <n v="2725.0"/>
        <n v="6120.0"/>
        <n v="759.0"/>
        <n v="4848.0"/>
        <n v="29264.0"/>
        <n v="1145.0"/>
        <n v="5346.0"/>
        <n v="33005.0"/>
        <n v="932.0"/>
        <n v="4733.0"/>
        <n v="11714.0"/>
        <n v="374.0"/>
        <n v="1731.0"/>
        <n v="10333.0"/>
        <n v="12198.0"/>
        <n v="450.0"/>
        <n v="2608.0"/>
        <n v="10710.0"/>
        <n v="1295.0"/>
        <n v="10830.0"/>
        <n v="13615.0"/>
        <n v="2449.0"/>
        <n v="10570.0"/>
        <n v="672.0"/>
        <n v="3361.0"/>
        <n v="3679.0"/>
        <n v="6906.0"/>
        <n v="611.0"/>
        <n v="4119.0"/>
        <n v="4400.0"/>
        <n v="464.0"/>
        <n v="2593.0"/>
        <n v="6659.0"/>
        <n v="539.0"/>
        <n v="4675.0"/>
        <n v="4166.0"/>
        <n v="4024.0"/>
        <n v="193.0"/>
        <n v="466.0"/>
        <n v="6326.0"/>
        <n v="666.0"/>
        <n v="3021.0"/>
        <n v="756.0"/>
        <n v="3265.0"/>
        <n v="4068.0"/>
        <n v="217.0"/>
        <n v="533.0"/>
        <n v="2483.0"/>
        <n v="113.0"/>
        <n v="332.0"/>
        <n v="1810.0"/>
        <n v="532.0"/>
        <n v="13989.0"/>
        <n v="4909.0"/>
        <n v="6621.0"/>
        <n v="315.0"/>
        <n v="764.0"/>
        <n v="5810.0"/>
        <n v="229.0"/>
        <n v="670.0"/>
        <n v="835.0"/>
        <n v="11344.0"/>
        <n v="1841.0"/>
        <n v="6170.0"/>
        <n v="5222.0"/>
        <n v="1092.0"/>
        <n v="4927.0"/>
        <n v="570.0"/>
        <n v="3717.0"/>
        <n v="6892.0"/>
        <n v="5287.0"/>
        <n v="924.0"/>
        <n v="2245.0"/>
        <n v="3581.0"/>
        <n v="5359.0"/>
        <n v="3813.0"/>
        <n v="11641.0"/>
        <n v="4132.0"/>
        <n v="1603.0"/>
        <n v="3910.0"/>
        <n v="8819.0"/>
        <n v="5315.0"/>
        <n v="7621.0"/>
        <n v="4114.0"/>
        <n v="6766.0"/>
        <n v="347.0"/>
        <n v="1189.0"/>
        <n v="14470.0"/>
        <n v="444.0"/>
        <n v="2676.0"/>
        <n v="5755.0"/>
        <n v="282.0"/>
        <n v="7415.0"/>
        <n v="289.0"/>
        <n v="1004.0"/>
        <n v="6508.0"/>
        <n v="6000.0"/>
        <n v="323.0"/>
        <n v="1182.0"/>
        <n v="6790.0"/>
        <n v="895.0"/>
        <n v="4512.0"/>
        <n v="127.0"/>
        <n v="452.0"/>
        <n v="1948.0"/>
        <n v="346.0"/>
        <n v="121.0"/>
        <n v="1499.0"/>
        <n v="1744.0"/>
        <n v="87.0"/>
        <n v="4057.0"/>
        <n v="8286.0"/>
        <n v="10195.0"/>
        <n v="13812.0"/>
        <n v="6716.0"/>
        <n v="3624.0"/>
        <n v="4244.0"/>
        <n v="4725.0"/>
        <n v="929.0"/>
        <n v="853.0"/>
        <n v="6399.0"/>
        <n v="2121.0"/>
        <n v="2527.0"/>
        <n v="6364.0"/>
        <n v="7771.0"/>
        <n v="4016.0"/>
        <n v="4496.0"/>
        <n v="5311.0"/>
        <n v="4591.0"/>
        <n v="2191.0"/>
        <n v="2723.0"/>
        <n v="3685.0"/>
        <n v="2584.0"/>
        <n v="2778.0"/>
        <n v="3582.0"/>
        <n v="1689.0"/>
        <n v="1480.0"/>
        <n v="425.0"/>
        <n v="245.0"/>
        <n v="616.0"/>
        <n v="659.0"/>
        <n v="1435.0"/>
        <n v="1031.0"/>
        <n v="993.0"/>
        <n v="534.0"/>
        <n v="658.0"/>
        <n v="292.0"/>
        <n v="319.0"/>
        <n v="340.0"/>
        <n v="73.0"/>
        <n v="181.0"/>
        <n v="72.0"/>
        <n v="156.0"/>
        <n v="23.0"/>
        <n v="57.0"/>
        <n v="79.0"/>
        <n v="244.0"/>
        <n v="111.0"/>
        <n v="1178.0"/>
        <n v="1332.0"/>
        <n v="1393.0"/>
        <n v="526.0"/>
        <n v="248.0"/>
        <n v="318.0"/>
        <n v="359.0"/>
        <n v="300.0"/>
        <n v="516.0"/>
        <n v="1684.0"/>
        <n v="396.0"/>
        <n v="306.0"/>
        <n v="676.0"/>
        <n v="47138.0"/>
        <n v="35688.0"/>
        <n v="6956.0"/>
        <n v="24350.0"/>
        <n v="1259.0"/>
        <n v="4329.0"/>
        <n v="33922.0"/>
        <n v="1456.0"/>
        <n v="6413.0"/>
        <n v="19167.0"/>
        <n v="3196.0"/>
        <n v="18868.0"/>
        <n v="3475.0"/>
        <n v="12938.0"/>
        <n v="7557.0"/>
        <n v="6569.0"/>
        <n v="9726.0"/>
        <n v="1852.0"/>
        <n v="8726.0"/>
        <n v="10442.0"/>
        <n v="1459.0"/>
        <n v="7484.0"/>
        <n v="8487.0"/>
        <n v="1320.0"/>
        <n v="6989.0"/>
        <n v="14066.0"/>
        <n v="2638.0"/>
        <n v="9618.0"/>
        <n v="3037.0"/>
        <n v="4153.0"/>
        <n v="4232.0"/>
        <n v="4257.0"/>
        <n v="9725.0"/>
        <n v="1488.0"/>
        <n v="6534.0"/>
        <n v="8530.0"/>
        <n v="7255.0"/>
        <n v="5258.0"/>
        <n v="4912.0"/>
        <n v="3099.0"/>
        <n v="5210.0"/>
        <n v="688.0"/>
        <n v="4481.0"/>
        <n v="4238.0"/>
        <n v="4472.0"/>
        <n v="2910.0"/>
        <n v="90079.0"/>
        <n v="20083.0"/>
        <n v="10078.0"/>
        <n v="11514.0"/>
        <n v="521.0"/>
        <n v="2162.0"/>
        <n v="4869.0"/>
        <n v="24113.0"/>
        <n v="4795.0"/>
        <n v="3918.0"/>
        <n v="3372.0"/>
        <n v="645.0"/>
        <n v="3215.0"/>
        <n v="3495.0"/>
        <n v="475.0"/>
        <n v="3144.0"/>
        <n v="8207.0"/>
        <n v="967.0"/>
        <n v="8720.0"/>
        <n v="848.0"/>
        <n v="547.0"/>
        <n v="3956.0"/>
        <n v="809.0"/>
        <n v="3168.0"/>
        <n v="5348.0"/>
        <n v="448.0"/>
        <n v="3020.0"/>
        <n v="342.0"/>
        <n v="2732.0"/>
        <n v="3098.0"/>
        <n v="6941.0"/>
        <n v="5745.0"/>
        <n v="6915.0"/>
        <n v="6058.0"/>
        <n v="6715.0"/>
        <n v="3707.0"/>
        <n v="1108.0"/>
        <n v="4569.0"/>
        <n v="3204.0"/>
        <n v="1470.0"/>
        <n v="3078.0"/>
        <n v="1467.0"/>
        <n v="1377.0"/>
        <n v="1338.0"/>
        <n v="2327.0"/>
        <n v="1314.0"/>
        <n v="3484.0"/>
        <n v="3544.0"/>
        <n v="5420.0"/>
        <n v="3969.0"/>
        <n v="5314.0"/>
        <n v="6439.0"/>
        <n v="5585.0"/>
        <n v="2210.0"/>
        <n v="1143.0"/>
        <n v="1776.0"/>
        <n v="9732.0"/>
        <n v="8587.0"/>
        <n v="12025.0"/>
        <n v="6164.0"/>
        <n v="16574.0"/>
        <n v="9032.0"/>
        <n v="2279.0"/>
        <n v="1911.0"/>
        <n v="4036.0"/>
        <n v="5301.0"/>
        <n v="3640.0"/>
        <n v="4558.0"/>
        <n v="4108.0"/>
        <n v="82066.0"/>
        <n v="4450.0"/>
        <n v="5171.0"/>
        <n v="74586.0"/>
        <n v="3756.0"/>
        <n v="752.0"/>
        <n v="6934.0"/>
        <n v="31252.0"/>
        <n v="1011.0"/>
        <n v="5201.0"/>
        <n v="19346.0"/>
        <n v="32050.0"/>
        <n v="798.0"/>
        <n v="4891.0"/>
        <n v="2986.0"/>
        <n v="424.0"/>
        <n v="12015.0"/>
        <n v="1570.0"/>
        <n v="11769.0"/>
        <n v="12455.0"/>
        <n v="2068.0"/>
        <n v="6322.0"/>
        <n v="1013.0"/>
        <n v="639.0"/>
        <n v="407.0"/>
        <n v="1148.0"/>
        <n v="803.0"/>
        <n v="7210.0"/>
        <n v="11061.0"/>
        <n v="10693.0"/>
        <n v="22345.0"/>
        <n v="2518.0"/>
        <n v="3159.0"/>
        <n v="6866.0"/>
        <n v="9316.0"/>
        <n v="29508.0"/>
        <n v="5104.0"/>
        <n v="7148.0"/>
        <n v="4618.0"/>
        <n v="10472.0"/>
        <n v="3849.0"/>
        <n v="3404.0"/>
        <n v="10905.0"/>
        <n v="7639.0"/>
        <n v="15245.0"/>
        <n v="5487.0"/>
        <n v="3393.0"/>
        <n v="2400.0"/>
        <n v="7875.0"/>
        <n v="3217.0"/>
        <n v="4726.0"/>
        <n v="5374.0"/>
        <n v="3720.0"/>
        <n v="2410.0"/>
        <n v="3046.0"/>
        <n v="11396.0"/>
        <n v="6736.0"/>
        <n v="6156.0"/>
        <n v="16307.0"/>
        <n v="12398.0"/>
        <n v="1071.0"/>
        <n v="763.0"/>
        <n v="2538.0"/>
        <n v="1790.0"/>
        <n v="1989.0"/>
        <n v="1213.0"/>
        <n v="731.0"/>
        <n v="3207.0"/>
        <n v="5624.0"/>
        <n v="4120.0"/>
        <n v="6342.0"/>
        <n v="10615.0"/>
        <n v="6784.0"/>
        <n v="226.0"/>
      </sharedItems>
    </cacheField>
    <cacheField name="Mức độ ưu tiên" numFmtId="0">
      <sharedItems>
        <s v="Binh thuong"/>
        <s v="Uu tien cao"/>
      </sharedItems>
    </cacheField>
    <cacheField name=" " numFmtId="0">
      <sharedItems containsBlank="1">
        <s v="Chỉ số đánh giá"/>
        <s v="Số lượng SKU"/>
        <s v="Tổng dự báo nhập"/>
        <s v="Sai số trung bình"/>
        <m/>
      </sharedItems>
    </cacheField>
    <cacheField name=" 2">
      <sharedItems containsBlank="1" containsMixedTypes="1" containsNumber="1">
        <s v="XGBoost (Nhóm 2)"/>
        <n v="585.0"/>
        <n v="1849305.0"/>
        <n v="1112.268511463843"/>
        <m/>
      </sharedItems>
    </cacheField>
    <cacheField name=" 3">
      <sharedItems containsBlank="1" containsMixedTypes="1" containsNumber="1">
        <s v="MA3 (Nhóm 1)"/>
        <n v="1094.0"/>
        <n v="5674660.0"/>
        <n v="1729.0144754214894"/>
        <m/>
      </sharedItems>
    </cacheField>
    <cacheField name=" 4">
      <sharedItems containsBlank="1" containsMixedTypes="1" containsNumber="1">
        <s v="Safety Stock (Nhóm 3)"/>
        <n v="282.0"/>
        <n v="184560.0"/>
        <n v="472.66934594168686"/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Bảng tổng hợp 3" cacheId="0" dataCaption="" compact="0" compactData="0">
  <location ref="A1:B869" firstHeaderRow="0" firstDataRow="1" firstDataCol="0"/>
  <pivotFields>
    <pivotField name="fsku" axis="axisRow" compact="0" outline="0" multipleItemSelectionAllowed="1" showAll="0" sortType="ascending">
      <items>
        <item x="680"/>
        <item x="0"/>
        <item x="1"/>
        <item x="390"/>
        <item x="2"/>
        <item x="3"/>
        <item x="376"/>
        <item x="807"/>
        <item x="684"/>
        <item x="418"/>
        <item x="793"/>
        <item x="727"/>
        <item x="532"/>
        <item x="813"/>
        <item x="601"/>
        <item x="452"/>
        <item x="769"/>
        <item x="585"/>
        <item x="470"/>
        <item x="768"/>
        <item x="615"/>
        <item x="294"/>
        <item x="765"/>
        <item x="635"/>
        <item x="730"/>
        <item x="595"/>
        <item x="4"/>
        <item x="5"/>
        <item x="6"/>
        <item x="7"/>
        <item x="8"/>
        <item x="9"/>
        <item x="10"/>
        <item x="11"/>
        <item x="12"/>
        <item x="13"/>
        <item x="14"/>
        <item x="658"/>
        <item x="815"/>
        <item x="629"/>
        <item x="612"/>
        <item x="15"/>
        <item x="673"/>
        <item x="571"/>
        <item x="308"/>
        <item x="398"/>
        <item x="342"/>
        <item x="345"/>
        <item x="334"/>
        <item x="320"/>
        <item x="331"/>
        <item x="298"/>
        <item x="705"/>
        <item x="724"/>
        <item x="643"/>
        <item x="614"/>
        <item x="425"/>
        <item x="566"/>
        <item x="586"/>
        <item x="511"/>
        <item x="509"/>
        <item x="512"/>
        <item x="518"/>
        <item x="352"/>
        <item x="16"/>
        <item x="17"/>
        <item x="18"/>
        <item x="19"/>
        <item x="20"/>
        <item x="21"/>
        <item x="22"/>
        <item x="821"/>
        <item x="482"/>
        <item x="23"/>
        <item x="434"/>
        <item x="24"/>
        <item x="25"/>
        <item x="26"/>
        <item x="27"/>
        <item x="344"/>
        <item x="28"/>
        <item x="697"/>
        <item x="29"/>
        <item x="30"/>
        <item x="31"/>
        <item x="442"/>
        <item x="32"/>
        <item x="33"/>
        <item x="755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845"/>
        <item x="694"/>
        <item x="703"/>
        <item x="51"/>
        <item x="52"/>
        <item x="719"/>
        <item x="53"/>
        <item x="54"/>
        <item x="55"/>
        <item x="837"/>
        <item x="56"/>
        <item x="764"/>
        <item x="843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286"/>
        <item x="284"/>
        <item x="581"/>
        <item x="865"/>
        <item x="704"/>
        <item x="740"/>
        <item x="645"/>
        <item x="624"/>
        <item x="732"/>
        <item x="700"/>
        <item x="783"/>
        <item x="847"/>
        <item x="72"/>
        <item x="73"/>
        <item x="527"/>
        <item x="74"/>
        <item x="75"/>
        <item x="485"/>
        <item x="722"/>
        <item x="718"/>
        <item x="469"/>
        <item x="486"/>
        <item x="446"/>
        <item x="556"/>
        <item x="451"/>
        <item x="414"/>
        <item x="479"/>
        <item x="492"/>
        <item x="621"/>
        <item x="557"/>
        <item x="649"/>
        <item x="599"/>
        <item x="301"/>
        <item x="404"/>
        <item x="501"/>
        <item x="506"/>
        <item x="379"/>
        <item x="545"/>
        <item x="525"/>
        <item x="402"/>
        <item x="594"/>
        <item x="546"/>
        <item x="582"/>
        <item x="667"/>
        <item x="417"/>
        <item x="358"/>
        <item x="476"/>
        <item x="388"/>
        <item x="411"/>
        <item x="355"/>
        <item x="399"/>
        <item x="372"/>
        <item x="458"/>
        <item x="744"/>
        <item x="445"/>
        <item x="499"/>
        <item x="464"/>
        <item x="424"/>
        <item x="416"/>
        <item x="517"/>
        <item x="500"/>
        <item x="530"/>
        <item x="774"/>
        <item x="607"/>
        <item x="620"/>
        <item x="692"/>
        <item x="561"/>
        <item x="637"/>
        <item x="536"/>
        <item x="297"/>
        <item x="293"/>
        <item x="432"/>
        <item x="467"/>
        <item x="474"/>
        <item x="462"/>
        <item x="76"/>
        <item x="77"/>
        <item x="725"/>
        <item x="78"/>
        <item x="79"/>
        <item x="80"/>
        <item x="523"/>
        <item x="606"/>
        <item x="593"/>
        <item x="534"/>
        <item x="516"/>
        <item x="508"/>
        <item x="461"/>
        <item x="504"/>
        <item x="541"/>
        <item x="421"/>
        <item x="443"/>
        <item x="528"/>
        <item x="407"/>
        <item x="472"/>
        <item x="498"/>
        <item x="524"/>
        <item x="550"/>
        <item x="678"/>
        <item x="605"/>
        <item x="589"/>
        <item x="622"/>
        <item x="575"/>
        <item x="641"/>
        <item x="651"/>
        <item x="316"/>
        <item x="339"/>
        <item x="282"/>
        <item x="283"/>
        <item x="81"/>
        <item x="707"/>
        <item x="82"/>
        <item x="819"/>
        <item x="83"/>
        <item x="84"/>
        <item x="85"/>
        <item x="835"/>
        <item x="86"/>
        <item x="863"/>
        <item x="683"/>
        <item x="287"/>
        <item x="288"/>
        <item x="285"/>
        <item x="790"/>
        <item x="87"/>
        <item x="519"/>
        <item x="88"/>
        <item x="369"/>
        <item x="89"/>
        <item x="714"/>
        <item x="332"/>
        <item x="580"/>
        <item x="378"/>
        <item x="361"/>
        <item x="711"/>
        <item x="491"/>
        <item x="430"/>
        <item x="855"/>
        <item x="766"/>
        <item x="408"/>
        <item x="90"/>
        <item x="739"/>
        <item x="533"/>
        <item x="825"/>
        <item x="617"/>
        <item x="341"/>
        <item x="663"/>
        <item x="471"/>
        <item x="497"/>
        <item x="842"/>
        <item x="799"/>
        <item x="466"/>
        <item x="854"/>
        <item x="780"/>
        <item x="359"/>
        <item x="840"/>
        <item x="779"/>
        <item x="448"/>
        <item x="838"/>
        <item x="771"/>
        <item x="91"/>
        <item x="757"/>
        <item x="515"/>
        <item x="587"/>
        <item x="625"/>
        <item x="785"/>
        <item x="579"/>
        <item x="387"/>
        <item x="502"/>
        <item x="569"/>
        <item x="573"/>
        <item x="92"/>
        <item x="729"/>
        <item x="93"/>
        <item x="94"/>
        <item x="691"/>
        <item x="772"/>
        <item x="95"/>
        <item x="577"/>
        <item x="560"/>
        <item x="367"/>
        <item x="444"/>
        <item x="640"/>
        <item x="610"/>
        <item x="642"/>
        <item x="558"/>
        <item x="609"/>
        <item x="666"/>
        <item x="96"/>
        <item x="721"/>
        <item x="493"/>
        <item x="660"/>
        <item x="97"/>
        <item x="750"/>
        <item x="759"/>
        <item x="734"/>
        <item x="644"/>
        <item x="98"/>
        <item x="99"/>
        <item x="608"/>
        <item x="100"/>
        <item x="748"/>
        <item x="101"/>
        <item x="102"/>
        <item x="303"/>
        <item x="481"/>
        <item x="315"/>
        <item x="295"/>
        <item x="455"/>
        <item x="311"/>
        <item x="330"/>
        <item x="565"/>
        <item x="349"/>
        <item x="460"/>
        <item x="686"/>
        <item x="475"/>
        <item x="371"/>
        <item x="676"/>
        <item x="373"/>
        <item x="346"/>
        <item x="652"/>
        <item x="449"/>
        <item x="646"/>
        <item x="857"/>
        <item x="823"/>
        <item x="465"/>
        <item x="742"/>
        <item x="450"/>
        <item x="656"/>
        <item x="291"/>
        <item x="553"/>
        <item x="394"/>
        <item x="292"/>
        <item x="650"/>
        <item x="396"/>
        <item x="289"/>
        <item x="542"/>
        <item x="353"/>
        <item x="290"/>
        <item x="538"/>
        <item x="368"/>
        <item x="310"/>
        <item x="548"/>
        <item x="309"/>
        <item x="336"/>
        <item x="674"/>
        <item x="324"/>
        <item x="325"/>
        <item x="659"/>
        <item x="312"/>
        <item x="454"/>
        <item x="801"/>
        <item x="393"/>
        <item x="753"/>
        <item x="682"/>
        <item x="103"/>
        <item x="104"/>
        <item x="478"/>
        <item x="540"/>
        <item x="507"/>
        <item x="698"/>
        <item x="543"/>
        <item x="733"/>
        <item x="521"/>
        <item x="820"/>
        <item x="763"/>
        <item x="751"/>
        <item x="583"/>
        <item x="690"/>
        <item x="661"/>
        <item x="520"/>
        <item x="657"/>
        <item x="626"/>
        <item x="105"/>
        <item x="106"/>
        <item x="107"/>
        <item x="415"/>
        <item x="438"/>
        <item x="544"/>
        <item x="409"/>
        <item x="433"/>
        <item x="410"/>
        <item x="431"/>
        <item x="108"/>
        <item x="627"/>
        <item x="109"/>
        <item x="756"/>
        <item x="602"/>
        <item x="677"/>
        <item x="647"/>
        <item x="653"/>
        <item x="384"/>
        <item x="382"/>
        <item x="307"/>
        <item x="110"/>
        <item x="403"/>
        <item x="111"/>
        <item x="112"/>
        <item x="113"/>
        <item x="114"/>
        <item x="115"/>
        <item x="572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726"/>
        <item x="496"/>
        <item x="142"/>
        <item x="495"/>
        <item x="143"/>
        <item x="144"/>
        <item x="426"/>
        <item x="145"/>
        <item x="146"/>
        <item x="468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806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632"/>
        <item x="672"/>
        <item x="689"/>
        <item x="383"/>
        <item x="706"/>
        <item x="395"/>
        <item x="305"/>
        <item x="668"/>
        <item x="712"/>
        <item x="630"/>
        <item x="314"/>
        <item x="782"/>
        <item x="531"/>
        <item x="828"/>
        <item x="827"/>
        <item x="441"/>
        <item x="738"/>
        <item x="832"/>
        <item x="781"/>
        <item x="861"/>
        <item x="810"/>
        <item x="822"/>
        <item x="360"/>
        <item x="767"/>
        <item x="834"/>
        <item x="749"/>
        <item x="839"/>
        <item x="747"/>
        <item x="456"/>
        <item x="420"/>
        <item x="338"/>
        <item x="370"/>
        <item x="327"/>
        <item x="477"/>
        <item x="350"/>
        <item x="337"/>
        <item x="313"/>
        <item x="34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488"/>
        <item x="745"/>
        <item x="591"/>
        <item x="503"/>
        <item x="760"/>
        <item x="611"/>
        <item x="391"/>
        <item x="737"/>
        <item x="539"/>
        <item x="628"/>
        <item x="787"/>
        <item x="204"/>
        <item x="205"/>
        <item x="206"/>
        <item x="207"/>
        <item x="208"/>
        <item x="209"/>
        <item x="210"/>
        <item x="636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797"/>
        <item x="584"/>
        <item x="592"/>
        <item x="484"/>
        <item x="429"/>
        <item x="802"/>
        <item x="754"/>
        <item x="343"/>
        <item x="619"/>
        <item x="357"/>
        <item x="597"/>
        <item x="375"/>
        <item x="365"/>
        <item x="412"/>
        <item x="427"/>
        <item x="786"/>
        <item x="736"/>
        <item x="623"/>
        <item x="696"/>
        <item x="436"/>
        <item x="851"/>
        <item x="665"/>
        <item x="319"/>
        <item x="816"/>
        <item x="563"/>
        <item x="413"/>
        <item x="618"/>
        <item x="397"/>
        <item x="639"/>
        <item x="788"/>
        <item x="803"/>
        <item x="708"/>
        <item x="717"/>
        <item x="775"/>
        <item x="796"/>
        <item x="848"/>
        <item x="814"/>
        <item x="459"/>
        <item x="439"/>
        <item x="791"/>
        <item x="846"/>
        <item x="363"/>
        <item x="655"/>
        <item x="419"/>
        <item x="693"/>
        <item x="364"/>
        <item x="389"/>
        <item x="329"/>
        <item x="356"/>
        <item x="795"/>
        <item x="831"/>
        <item x="633"/>
        <item x="604"/>
        <item x="317"/>
        <item x="804"/>
        <item x="578"/>
        <item x="598"/>
        <item x="600"/>
        <item x="664"/>
        <item x="685"/>
        <item x="570"/>
        <item x="422"/>
        <item x="537"/>
        <item x="514"/>
        <item x="423"/>
        <item x="723"/>
        <item x="702"/>
        <item x="222"/>
        <item x="223"/>
        <item x="224"/>
        <item x="225"/>
        <item x="226"/>
        <item x="227"/>
        <item x="489"/>
        <item x="687"/>
        <item x="554"/>
        <item x="720"/>
        <item x="555"/>
        <item x="679"/>
        <item x="688"/>
        <item x="715"/>
        <item x="808"/>
        <item x="228"/>
        <item x="794"/>
        <item x="826"/>
        <item x="440"/>
        <item x="463"/>
        <item x="596"/>
        <item x="770"/>
        <item x="817"/>
        <item x="229"/>
        <item x="230"/>
        <item x="231"/>
        <item x="232"/>
        <item x="233"/>
        <item x="306"/>
        <item x="392"/>
        <item x="321"/>
        <item x="300"/>
        <item x="304"/>
        <item x="323"/>
        <item x="302"/>
        <item x="386"/>
        <item x="405"/>
        <item x="669"/>
        <item x="777"/>
        <item x="590"/>
        <item x="648"/>
        <item x="811"/>
        <item x="743"/>
        <item x="699"/>
        <item x="335"/>
        <item x="234"/>
        <item x="576"/>
        <item x="701"/>
        <item x="235"/>
        <item x="236"/>
        <item x="237"/>
        <item x="238"/>
        <item x="401"/>
        <item x="385"/>
        <item x="296"/>
        <item x="333"/>
        <item x="654"/>
        <item x="239"/>
        <item x="483"/>
        <item x="564"/>
        <item x="366"/>
        <item x="574"/>
        <item x="347"/>
        <item x="299"/>
        <item x="494"/>
        <item x="695"/>
        <item x="603"/>
        <item x="351"/>
        <item x="437"/>
        <item x="480"/>
        <item x="406"/>
        <item x="547"/>
        <item x="428"/>
        <item x="681"/>
        <item x="240"/>
        <item x="241"/>
        <item x="242"/>
        <item x="243"/>
        <item x="244"/>
        <item x="487"/>
        <item x="326"/>
        <item x="453"/>
        <item x="631"/>
        <item x="634"/>
        <item x="400"/>
        <item x="513"/>
        <item x="457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505"/>
        <item x="752"/>
        <item x="262"/>
        <item x="824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849"/>
        <item x="758"/>
        <item x="850"/>
        <item x="852"/>
        <item x="275"/>
        <item x="844"/>
        <item x="773"/>
        <item x="862"/>
        <item x="853"/>
        <item x="856"/>
        <item x="858"/>
        <item x="859"/>
        <item x="860"/>
        <item x="864"/>
        <item x="866"/>
        <item x="318"/>
        <item x="746"/>
        <item x="551"/>
        <item x="328"/>
        <item x="716"/>
        <item x="535"/>
        <item x="322"/>
        <item x="792"/>
        <item x="567"/>
        <item x="354"/>
        <item x="818"/>
        <item x="671"/>
        <item x="381"/>
        <item x="776"/>
        <item x="670"/>
        <item x="377"/>
        <item x="710"/>
        <item x="473"/>
        <item x="348"/>
        <item x="616"/>
        <item x="447"/>
        <item x="490"/>
        <item x="830"/>
        <item x="741"/>
        <item x="435"/>
        <item x="762"/>
        <item x="559"/>
        <item x="362"/>
        <item x="662"/>
        <item x="510"/>
        <item x="529"/>
        <item x="798"/>
        <item x="735"/>
        <item x="549"/>
        <item x="805"/>
        <item x="728"/>
        <item x="588"/>
        <item x="829"/>
        <item x="784"/>
        <item x="522"/>
        <item x="833"/>
        <item x="800"/>
        <item x="778"/>
        <item x="276"/>
        <item x="277"/>
        <item x="278"/>
        <item x="841"/>
        <item x="279"/>
        <item x="280"/>
        <item x="761"/>
        <item x="568"/>
        <item x="675"/>
        <item x="552"/>
        <item x="281"/>
        <item x="374"/>
        <item x="526"/>
        <item x="812"/>
        <item x="613"/>
        <item x="638"/>
        <item x="709"/>
        <item x="809"/>
        <item x="713"/>
        <item x="731"/>
        <item x="789"/>
        <item x="380"/>
        <item x="562"/>
        <item x="836"/>
        <item t="default"/>
      </items>
    </pivotField>
    <pivotField name="Tổng Sản Lượ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t="default"/>
      </items>
    </pivotField>
    <pivotField name="Phân Nhóm" compact="0" outline="0" multipleItemSelectionAllowed="1" showAll="0">
      <items>
        <item x="0"/>
        <item x="1"/>
        <item t="default"/>
      </items>
    </pivotField>
  </pivotFields>
  <rowFields>
    <field x="0"/>
  </rowFields>
</pivotTableDefinition>
</file>

<file path=xl/pivotTables/pivotTable2.xml><?xml version="1.0" encoding="utf-8"?>
<pivotTableDefinition xmlns="http://schemas.openxmlformats.org/spreadsheetml/2006/main" name="Bảng tổng hợp 2" cacheId="0" dataCaption="" compact="0" compactData="0">
  <location ref="A1:B869" firstHeaderRow="0" firstDataRow="1" firstDataCol="0"/>
  <pivotFields>
    <pivotField name="fsku" axis="axisRow" compact="0" outline="0" multipleItemSelectionAllowed="1" showAll="0" sortType="ascending">
      <items>
        <item x="680"/>
        <item x="0"/>
        <item x="1"/>
        <item x="390"/>
        <item x="2"/>
        <item x="3"/>
        <item x="376"/>
        <item x="807"/>
        <item x="684"/>
        <item x="418"/>
        <item x="793"/>
        <item x="727"/>
        <item x="532"/>
        <item x="813"/>
        <item x="601"/>
        <item x="452"/>
        <item x="769"/>
        <item x="585"/>
        <item x="470"/>
        <item x="768"/>
        <item x="615"/>
        <item x="294"/>
        <item x="765"/>
        <item x="635"/>
        <item x="730"/>
        <item x="595"/>
        <item x="4"/>
        <item x="5"/>
        <item x="6"/>
        <item x="7"/>
        <item x="8"/>
        <item x="9"/>
        <item x="10"/>
        <item x="11"/>
        <item x="12"/>
        <item x="13"/>
        <item x="14"/>
        <item x="658"/>
        <item x="815"/>
        <item x="629"/>
        <item x="612"/>
        <item x="15"/>
        <item x="673"/>
        <item x="571"/>
        <item x="308"/>
        <item x="398"/>
        <item x="342"/>
        <item x="345"/>
        <item x="334"/>
        <item x="320"/>
        <item x="331"/>
        <item x="298"/>
        <item x="705"/>
        <item x="724"/>
        <item x="643"/>
        <item x="614"/>
        <item x="425"/>
        <item x="566"/>
        <item x="586"/>
        <item x="511"/>
        <item x="509"/>
        <item x="512"/>
        <item x="518"/>
        <item x="352"/>
        <item x="16"/>
        <item x="17"/>
        <item x="18"/>
        <item x="19"/>
        <item x="20"/>
        <item x="21"/>
        <item x="22"/>
        <item x="821"/>
        <item x="482"/>
        <item x="23"/>
        <item x="434"/>
        <item x="24"/>
        <item x="25"/>
        <item x="26"/>
        <item x="27"/>
        <item x="344"/>
        <item x="28"/>
        <item x="697"/>
        <item x="29"/>
        <item x="30"/>
        <item x="31"/>
        <item x="442"/>
        <item x="32"/>
        <item x="33"/>
        <item x="755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845"/>
        <item x="694"/>
        <item x="703"/>
        <item x="51"/>
        <item x="52"/>
        <item x="719"/>
        <item x="53"/>
        <item x="54"/>
        <item x="55"/>
        <item x="837"/>
        <item x="56"/>
        <item x="764"/>
        <item x="843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286"/>
        <item x="284"/>
        <item x="581"/>
        <item x="865"/>
        <item x="704"/>
        <item x="740"/>
        <item x="645"/>
        <item x="624"/>
        <item x="732"/>
        <item x="700"/>
        <item x="783"/>
        <item x="847"/>
        <item x="72"/>
        <item x="73"/>
        <item x="527"/>
        <item x="74"/>
        <item x="75"/>
        <item x="485"/>
        <item x="722"/>
        <item x="718"/>
        <item x="469"/>
        <item x="486"/>
        <item x="446"/>
        <item x="556"/>
        <item x="451"/>
        <item x="414"/>
        <item x="479"/>
        <item x="492"/>
        <item x="621"/>
        <item x="557"/>
        <item x="649"/>
        <item x="599"/>
        <item x="301"/>
        <item x="404"/>
        <item x="501"/>
        <item x="506"/>
        <item x="379"/>
        <item x="545"/>
        <item x="525"/>
        <item x="402"/>
        <item x="594"/>
        <item x="546"/>
        <item x="582"/>
        <item x="667"/>
        <item x="417"/>
        <item x="358"/>
        <item x="476"/>
        <item x="388"/>
        <item x="411"/>
        <item x="355"/>
        <item x="399"/>
        <item x="372"/>
        <item x="458"/>
        <item x="744"/>
        <item x="445"/>
        <item x="499"/>
        <item x="464"/>
        <item x="424"/>
        <item x="416"/>
        <item x="517"/>
        <item x="500"/>
        <item x="530"/>
        <item x="774"/>
        <item x="607"/>
        <item x="620"/>
        <item x="692"/>
        <item x="561"/>
        <item x="637"/>
        <item x="536"/>
        <item x="297"/>
        <item x="293"/>
        <item x="432"/>
        <item x="467"/>
        <item x="474"/>
        <item x="462"/>
        <item x="76"/>
        <item x="77"/>
        <item x="725"/>
        <item x="78"/>
        <item x="79"/>
        <item x="80"/>
        <item x="523"/>
        <item x="606"/>
        <item x="593"/>
        <item x="534"/>
        <item x="516"/>
        <item x="508"/>
        <item x="461"/>
        <item x="504"/>
        <item x="541"/>
        <item x="421"/>
        <item x="443"/>
        <item x="528"/>
        <item x="407"/>
        <item x="472"/>
        <item x="498"/>
        <item x="524"/>
        <item x="550"/>
        <item x="678"/>
        <item x="605"/>
        <item x="589"/>
        <item x="622"/>
        <item x="575"/>
        <item x="641"/>
        <item x="651"/>
        <item x="316"/>
        <item x="339"/>
        <item x="282"/>
        <item x="283"/>
        <item x="81"/>
        <item x="707"/>
        <item x="82"/>
        <item x="819"/>
        <item x="83"/>
        <item x="84"/>
        <item x="85"/>
        <item x="835"/>
        <item x="86"/>
        <item x="863"/>
        <item x="683"/>
        <item x="287"/>
        <item x="288"/>
        <item x="285"/>
        <item x="790"/>
        <item x="87"/>
        <item x="519"/>
        <item x="88"/>
        <item x="369"/>
        <item x="89"/>
        <item x="714"/>
        <item x="332"/>
        <item x="580"/>
        <item x="378"/>
        <item x="361"/>
        <item x="711"/>
        <item x="491"/>
        <item x="430"/>
        <item x="855"/>
        <item x="766"/>
        <item x="408"/>
        <item x="90"/>
        <item x="739"/>
        <item x="533"/>
        <item x="825"/>
        <item x="617"/>
        <item x="341"/>
        <item x="663"/>
        <item x="471"/>
        <item x="497"/>
        <item x="842"/>
        <item x="799"/>
        <item x="466"/>
        <item x="854"/>
        <item x="780"/>
        <item x="359"/>
        <item x="840"/>
        <item x="779"/>
        <item x="448"/>
        <item x="838"/>
        <item x="771"/>
        <item x="91"/>
        <item x="757"/>
        <item x="515"/>
        <item x="587"/>
        <item x="625"/>
        <item x="785"/>
        <item x="579"/>
        <item x="387"/>
        <item x="502"/>
        <item x="569"/>
        <item x="573"/>
        <item x="92"/>
        <item x="729"/>
        <item x="93"/>
        <item x="94"/>
        <item x="691"/>
        <item x="772"/>
        <item x="95"/>
        <item x="577"/>
        <item x="560"/>
        <item x="367"/>
        <item x="444"/>
        <item x="640"/>
        <item x="610"/>
        <item x="642"/>
        <item x="558"/>
        <item x="609"/>
        <item x="666"/>
        <item x="96"/>
        <item x="721"/>
        <item x="493"/>
        <item x="660"/>
        <item x="97"/>
        <item x="750"/>
        <item x="759"/>
        <item x="734"/>
        <item x="644"/>
        <item x="98"/>
        <item x="99"/>
        <item x="608"/>
        <item x="100"/>
        <item x="748"/>
        <item x="101"/>
        <item x="102"/>
        <item x="303"/>
        <item x="481"/>
        <item x="315"/>
        <item x="295"/>
        <item x="455"/>
        <item x="311"/>
        <item x="330"/>
        <item x="565"/>
        <item x="349"/>
        <item x="460"/>
        <item x="686"/>
        <item x="475"/>
        <item x="371"/>
        <item x="676"/>
        <item x="373"/>
        <item x="346"/>
        <item x="652"/>
        <item x="449"/>
        <item x="646"/>
        <item x="857"/>
        <item x="823"/>
        <item x="465"/>
        <item x="742"/>
        <item x="450"/>
        <item x="656"/>
        <item x="291"/>
        <item x="553"/>
        <item x="394"/>
        <item x="292"/>
        <item x="650"/>
        <item x="396"/>
        <item x="289"/>
        <item x="542"/>
        <item x="353"/>
        <item x="290"/>
        <item x="538"/>
        <item x="368"/>
        <item x="310"/>
        <item x="548"/>
        <item x="309"/>
        <item x="336"/>
        <item x="674"/>
        <item x="324"/>
        <item x="325"/>
        <item x="659"/>
        <item x="312"/>
        <item x="454"/>
        <item x="801"/>
        <item x="393"/>
        <item x="753"/>
        <item x="682"/>
        <item x="103"/>
        <item x="104"/>
        <item x="478"/>
        <item x="540"/>
        <item x="507"/>
        <item x="698"/>
        <item x="543"/>
        <item x="733"/>
        <item x="521"/>
        <item x="820"/>
        <item x="763"/>
        <item x="751"/>
        <item x="583"/>
        <item x="690"/>
        <item x="661"/>
        <item x="520"/>
        <item x="657"/>
        <item x="626"/>
        <item x="105"/>
        <item x="106"/>
        <item x="107"/>
        <item x="415"/>
        <item x="438"/>
        <item x="544"/>
        <item x="409"/>
        <item x="433"/>
        <item x="410"/>
        <item x="431"/>
        <item x="108"/>
        <item x="627"/>
        <item x="109"/>
        <item x="756"/>
        <item x="602"/>
        <item x="677"/>
        <item x="647"/>
        <item x="653"/>
        <item x="384"/>
        <item x="382"/>
        <item x="307"/>
        <item x="110"/>
        <item x="403"/>
        <item x="111"/>
        <item x="112"/>
        <item x="113"/>
        <item x="114"/>
        <item x="115"/>
        <item x="572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726"/>
        <item x="496"/>
        <item x="142"/>
        <item x="495"/>
        <item x="143"/>
        <item x="144"/>
        <item x="426"/>
        <item x="145"/>
        <item x="146"/>
        <item x="468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806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632"/>
        <item x="672"/>
        <item x="689"/>
        <item x="383"/>
        <item x="706"/>
        <item x="395"/>
        <item x="305"/>
        <item x="668"/>
        <item x="712"/>
        <item x="630"/>
        <item x="314"/>
        <item x="782"/>
        <item x="531"/>
        <item x="828"/>
        <item x="827"/>
        <item x="441"/>
        <item x="738"/>
        <item x="832"/>
        <item x="781"/>
        <item x="861"/>
        <item x="810"/>
        <item x="822"/>
        <item x="360"/>
        <item x="767"/>
        <item x="834"/>
        <item x="749"/>
        <item x="839"/>
        <item x="747"/>
        <item x="456"/>
        <item x="420"/>
        <item x="338"/>
        <item x="370"/>
        <item x="327"/>
        <item x="477"/>
        <item x="350"/>
        <item x="337"/>
        <item x="313"/>
        <item x="34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488"/>
        <item x="745"/>
        <item x="591"/>
        <item x="503"/>
        <item x="760"/>
        <item x="611"/>
        <item x="391"/>
        <item x="737"/>
        <item x="539"/>
        <item x="628"/>
        <item x="787"/>
        <item x="204"/>
        <item x="205"/>
        <item x="206"/>
        <item x="207"/>
        <item x="208"/>
        <item x="209"/>
        <item x="210"/>
        <item x="636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797"/>
        <item x="584"/>
        <item x="592"/>
        <item x="484"/>
        <item x="429"/>
        <item x="802"/>
        <item x="754"/>
        <item x="343"/>
        <item x="619"/>
        <item x="357"/>
        <item x="597"/>
        <item x="375"/>
        <item x="365"/>
        <item x="412"/>
        <item x="427"/>
        <item x="786"/>
        <item x="736"/>
        <item x="623"/>
        <item x="696"/>
        <item x="436"/>
        <item x="851"/>
        <item x="665"/>
        <item x="319"/>
        <item x="816"/>
        <item x="563"/>
        <item x="413"/>
        <item x="618"/>
        <item x="397"/>
        <item x="639"/>
        <item x="788"/>
        <item x="803"/>
        <item x="708"/>
        <item x="717"/>
        <item x="775"/>
        <item x="796"/>
        <item x="848"/>
        <item x="814"/>
        <item x="459"/>
        <item x="439"/>
        <item x="791"/>
        <item x="846"/>
        <item x="363"/>
        <item x="655"/>
        <item x="419"/>
        <item x="693"/>
        <item x="364"/>
        <item x="389"/>
        <item x="329"/>
        <item x="356"/>
        <item x="795"/>
        <item x="831"/>
        <item x="633"/>
        <item x="604"/>
        <item x="317"/>
        <item x="804"/>
        <item x="578"/>
        <item x="598"/>
        <item x="600"/>
        <item x="664"/>
        <item x="685"/>
        <item x="570"/>
        <item x="422"/>
        <item x="537"/>
        <item x="514"/>
        <item x="423"/>
        <item x="723"/>
        <item x="702"/>
        <item x="222"/>
        <item x="223"/>
        <item x="224"/>
        <item x="225"/>
        <item x="226"/>
        <item x="227"/>
        <item x="489"/>
        <item x="687"/>
        <item x="554"/>
        <item x="720"/>
        <item x="555"/>
        <item x="679"/>
        <item x="688"/>
        <item x="715"/>
        <item x="808"/>
        <item x="228"/>
        <item x="794"/>
        <item x="826"/>
        <item x="440"/>
        <item x="463"/>
        <item x="596"/>
        <item x="770"/>
        <item x="817"/>
        <item x="229"/>
        <item x="230"/>
        <item x="231"/>
        <item x="232"/>
        <item x="233"/>
        <item x="306"/>
        <item x="392"/>
        <item x="321"/>
        <item x="300"/>
        <item x="304"/>
        <item x="323"/>
        <item x="302"/>
        <item x="386"/>
        <item x="405"/>
        <item x="669"/>
        <item x="777"/>
        <item x="590"/>
        <item x="648"/>
        <item x="811"/>
        <item x="743"/>
        <item x="699"/>
        <item x="335"/>
        <item x="234"/>
        <item x="576"/>
        <item x="701"/>
        <item x="235"/>
        <item x="236"/>
        <item x="237"/>
        <item x="238"/>
        <item x="401"/>
        <item x="385"/>
        <item x="296"/>
        <item x="333"/>
        <item x="654"/>
        <item x="239"/>
        <item x="483"/>
        <item x="564"/>
        <item x="366"/>
        <item x="574"/>
        <item x="347"/>
        <item x="299"/>
        <item x="494"/>
        <item x="695"/>
        <item x="603"/>
        <item x="351"/>
        <item x="437"/>
        <item x="480"/>
        <item x="406"/>
        <item x="547"/>
        <item x="428"/>
        <item x="681"/>
        <item x="240"/>
        <item x="241"/>
        <item x="242"/>
        <item x="243"/>
        <item x="244"/>
        <item x="487"/>
        <item x="326"/>
        <item x="453"/>
        <item x="631"/>
        <item x="634"/>
        <item x="400"/>
        <item x="513"/>
        <item x="457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505"/>
        <item x="752"/>
        <item x="262"/>
        <item x="824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849"/>
        <item x="758"/>
        <item x="850"/>
        <item x="852"/>
        <item x="275"/>
        <item x="844"/>
        <item x="773"/>
        <item x="862"/>
        <item x="853"/>
        <item x="856"/>
        <item x="858"/>
        <item x="859"/>
        <item x="860"/>
        <item x="864"/>
        <item x="866"/>
        <item x="318"/>
        <item x="746"/>
        <item x="551"/>
        <item x="328"/>
        <item x="716"/>
        <item x="535"/>
        <item x="322"/>
        <item x="792"/>
        <item x="567"/>
        <item x="354"/>
        <item x="818"/>
        <item x="671"/>
        <item x="381"/>
        <item x="776"/>
        <item x="670"/>
        <item x="377"/>
        <item x="710"/>
        <item x="473"/>
        <item x="348"/>
        <item x="616"/>
        <item x="447"/>
        <item x="490"/>
        <item x="830"/>
        <item x="741"/>
        <item x="435"/>
        <item x="762"/>
        <item x="559"/>
        <item x="362"/>
        <item x="662"/>
        <item x="510"/>
        <item x="529"/>
        <item x="798"/>
        <item x="735"/>
        <item x="549"/>
        <item x="805"/>
        <item x="728"/>
        <item x="588"/>
        <item x="829"/>
        <item x="784"/>
        <item x="522"/>
        <item x="833"/>
        <item x="800"/>
        <item x="778"/>
        <item x="276"/>
        <item x="277"/>
        <item x="278"/>
        <item x="841"/>
        <item x="279"/>
        <item x="280"/>
        <item x="761"/>
        <item x="568"/>
        <item x="675"/>
        <item x="552"/>
        <item x="281"/>
        <item x="374"/>
        <item x="526"/>
        <item x="812"/>
        <item x="613"/>
        <item x="638"/>
        <item x="709"/>
        <item x="809"/>
        <item x="713"/>
        <item x="731"/>
        <item x="789"/>
        <item x="380"/>
        <item x="562"/>
        <item x="836"/>
        <item t="default"/>
      </items>
    </pivotField>
    <pivotField name="Tổng Sản Lượ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t="default"/>
      </items>
    </pivotField>
    <pivotField name="Phân Nhóm" compact="0" outline="0" multipleItemSelectionAllowed="1" showAll="0">
      <items>
        <item x="0"/>
        <item x="1"/>
        <item t="default"/>
      </items>
    </pivotField>
  </pivotFields>
  <rowFields>
    <field x="0"/>
  </rowFields>
</pivotTableDefinition>
</file>

<file path=xl/pivotTables/pivotTable3.xml><?xml version="1.0" encoding="utf-8"?>
<pivotTableDefinition xmlns="http://schemas.openxmlformats.org/spreadsheetml/2006/main" name="Bảng tổng hợp 1" cacheId="1" dataCaption="" compact="0" compactData="0">
  <location ref="A1:B5" firstHeaderRow="0" firstDataRow="1" firstDataCol="0"/>
  <pivotFields>
    <pivotField name="f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t="default"/>
      </items>
    </pivotField>
    <pivotField name="Tổng Sản Lượ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t="default"/>
      </items>
    </pivotField>
    <pivotField name="Phân Nhóm" axis="axisRow" compact="0" outline="0" multipleItemSelectionAllowed="1" showAll="0" sortType="ascending">
      <items>
        <item x="2"/>
        <item x="1"/>
        <item x="0"/>
        <item t="default"/>
      </items>
    </pivotField>
    <pivotField name="Mô hình dự báo đề xuất" compact="0" outline="0" multipleItemSelectionAllowed="1" showAll="0">
      <items>
        <item x="0"/>
        <item x="1"/>
        <item x="2"/>
        <item t="default"/>
      </items>
    </pivotField>
    <pivotField name="Chạy mô hìn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t="default"/>
      </items>
    </pivotField>
    <pivotField name="Độ lệch rủi 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t="default"/>
      </items>
    </pivotField>
    <pivotField name="Số lượng nhập kho đề xuấ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t="default"/>
      </items>
    </pivotField>
    <pivotField name="Mức độ ưu tiên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</pivotFields>
  <rowFields>
    <field x="2"/>
  </rowFields>
  <dataFields>
    <dataField name="SUM of Tổng Sản Lượng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7.0"/>
    <col customWidth="1" min="3" max="3" width="18.71"/>
    <col customWidth="1" min="4" max="4" width="21.0"/>
    <col customWidth="1" min="5" max="5" width="24.43"/>
    <col customWidth="1" min="6" max="6" width="13.29"/>
    <col customWidth="1" min="7" max="7" width="26.43"/>
    <col customWidth="1" min="8" max="8" width="17.71"/>
    <col customWidth="1" min="9" max="9" width="16.0"/>
    <col customWidth="1" min="10" max="10" width="18.71"/>
    <col customWidth="1" min="11" max="11" width="15.57"/>
    <col customWidth="1" min="12" max="12" width="21.57"/>
    <col customWidth="1" min="13" max="27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8</v>
      </c>
      <c r="K1" s="4" t="s">
        <v>8</v>
      </c>
      <c r="L1" s="4" t="s">
        <v>8</v>
      </c>
      <c r="M1" s="4" t="s">
        <v>8</v>
      </c>
      <c r="N1" s="4" t="s">
        <v>8</v>
      </c>
      <c r="O1" s="4" t="s">
        <v>8</v>
      </c>
      <c r="P1" s="4" t="s">
        <v>8</v>
      </c>
      <c r="Q1" s="4" t="s">
        <v>8</v>
      </c>
      <c r="R1" s="4" t="s">
        <v>8</v>
      </c>
      <c r="S1" s="4" t="s">
        <v>8</v>
      </c>
      <c r="T1" s="4" t="s">
        <v>8</v>
      </c>
      <c r="U1" s="4" t="s">
        <v>8</v>
      </c>
      <c r="V1" s="4" t="s">
        <v>8</v>
      </c>
      <c r="W1" s="4" t="s">
        <v>8</v>
      </c>
      <c r="X1" s="4" t="s">
        <v>8</v>
      </c>
      <c r="Y1" s="4" t="s">
        <v>8</v>
      </c>
      <c r="Z1" s="4" t="s">
        <v>8</v>
      </c>
      <c r="AA1" s="4" t="s">
        <v>8</v>
      </c>
    </row>
    <row r="2" ht="14.25" customHeight="1">
      <c r="A2" s="4" t="s">
        <v>9</v>
      </c>
      <c r="B2" s="4">
        <v>240.0</v>
      </c>
      <c r="C2" s="4" t="s">
        <v>10</v>
      </c>
      <c r="D2" s="4" t="str">
        <f t="shared" ref="D2:D1962" si="1">IF(ISNUMBER(SEARCH("Nhom 2",C2)),"XGBoost",IF(ISNUMBER(SEARCH("Nhom 1",C2)),"MA3","Safety Stock"))</f>
        <v>Safety Stock</v>
      </c>
      <c r="E2" s="4">
        <f t="shared" ref="E2:E1962" si="2">IF(D2="XGBoost", (B2/7)*1.2, IF(D2="MA3", B2/12, (B2/2)*0.8))</f>
        <v>96</v>
      </c>
      <c r="F2" s="4">
        <f t="shared" ref="F2:F1962" si="3">ABS(E2 - (B2/9))</f>
        <v>69.33333333</v>
      </c>
      <c r="G2" s="4">
        <f t="shared" ref="G2:G1962" si="4">ROUND(E2, 0)</f>
        <v>96</v>
      </c>
      <c r="H2" s="4" t="str">
        <f t="shared" ref="H2:H1962" si="5">IF(B2&gt;(SUM($B$2:$B1962)/COUNT($B$2:$B1962)), "Uu tien cao", "Binh thuong")</f>
        <v>Binh thuong</v>
      </c>
      <c r="I2" s="3" t="s">
        <v>11</v>
      </c>
      <c r="J2" s="3" t="s">
        <v>12</v>
      </c>
      <c r="K2" s="3" t="s">
        <v>13</v>
      </c>
      <c r="L2" s="3" t="s">
        <v>14</v>
      </c>
    </row>
    <row r="3" ht="14.25" customHeight="1">
      <c r="A3" s="4" t="s">
        <v>15</v>
      </c>
      <c r="B3" s="4">
        <v>424.0</v>
      </c>
      <c r="C3" s="4" t="s">
        <v>10</v>
      </c>
      <c r="D3" s="4" t="str">
        <f t="shared" si="1"/>
        <v>Safety Stock</v>
      </c>
      <c r="E3" s="4">
        <f t="shared" si="2"/>
        <v>169.6</v>
      </c>
      <c r="F3" s="4">
        <f t="shared" si="3"/>
        <v>122.4888889</v>
      </c>
      <c r="G3" s="4">
        <f t="shared" si="4"/>
        <v>170</v>
      </c>
      <c r="H3" s="4" t="str">
        <f t="shared" si="5"/>
        <v>Binh thuong</v>
      </c>
      <c r="I3" s="3" t="s">
        <v>16</v>
      </c>
      <c r="J3" s="4">
        <f>COUNTIF($D:$D, "XGBoost")</f>
        <v>585</v>
      </c>
      <c r="K3" s="4">
        <f>COUNTIF($D:$D, "MA3")</f>
        <v>1094</v>
      </c>
      <c r="L3" s="4">
        <f>COUNTIF($D:$D, "Safety Stock")</f>
        <v>282</v>
      </c>
    </row>
    <row r="4" ht="14.25" customHeight="1">
      <c r="A4" s="4" t="s">
        <v>17</v>
      </c>
      <c r="B4" s="4">
        <v>3520.0</v>
      </c>
      <c r="C4" s="4" t="s">
        <v>10</v>
      </c>
      <c r="D4" s="4" t="str">
        <f t="shared" si="1"/>
        <v>Safety Stock</v>
      </c>
      <c r="E4" s="4">
        <f t="shared" si="2"/>
        <v>1408</v>
      </c>
      <c r="F4" s="4">
        <f t="shared" si="3"/>
        <v>1016.888889</v>
      </c>
      <c r="G4" s="4">
        <f t="shared" si="4"/>
        <v>1408</v>
      </c>
      <c r="H4" s="4" t="str">
        <f t="shared" si="5"/>
        <v>Binh thuong</v>
      </c>
      <c r="I4" s="3" t="s">
        <v>18</v>
      </c>
      <c r="J4" s="4">
        <f>SUMIF($D:$D, "XGBoost", $G:$G)</f>
        <v>1849305</v>
      </c>
      <c r="K4" s="4">
        <f>SUMIF($D:$D, "MA3", $G:$G)</f>
        <v>5674660</v>
      </c>
      <c r="L4" s="4">
        <f>SUMIF($D:$D, "Safety Stock", $G:$G)</f>
        <v>184560</v>
      </c>
    </row>
    <row r="5" ht="14.25" customHeight="1">
      <c r="A5" s="4" t="s">
        <v>19</v>
      </c>
      <c r="B5" s="4">
        <v>160.0</v>
      </c>
      <c r="C5" s="4" t="s">
        <v>10</v>
      </c>
      <c r="D5" s="4" t="str">
        <f t="shared" si="1"/>
        <v>Safety Stock</v>
      </c>
      <c r="E5" s="4">
        <f t="shared" si="2"/>
        <v>64</v>
      </c>
      <c r="F5" s="4">
        <f t="shared" si="3"/>
        <v>46.22222222</v>
      </c>
      <c r="G5" s="4">
        <f t="shared" si="4"/>
        <v>64</v>
      </c>
      <c r="H5" s="4" t="str">
        <f t="shared" si="5"/>
        <v>Binh thuong</v>
      </c>
      <c r="I5" s="3" t="s">
        <v>20</v>
      </c>
      <c r="J5" s="4">
        <f>AVERAGEIF($D:$D, "XGBoost", $F:$F)</f>
        <v>1112.268511</v>
      </c>
      <c r="K5" s="4">
        <f>AVERAGEIF($D:$D, "MA3", $F:$F)</f>
        <v>1729.014475</v>
      </c>
      <c r="L5" s="4">
        <f>AVERAGEIF($D:$D, "Safety Stock", $F:$F)</f>
        <v>472.6693459</v>
      </c>
    </row>
    <row r="6" ht="14.25" customHeight="1">
      <c r="A6" s="4" t="s">
        <v>21</v>
      </c>
      <c r="B6" s="4">
        <v>1143.0</v>
      </c>
      <c r="C6" s="4" t="s">
        <v>10</v>
      </c>
      <c r="D6" s="4" t="str">
        <f t="shared" si="1"/>
        <v>Safety Stock</v>
      </c>
      <c r="E6" s="4">
        <f t="shared" si="2"/>
        <v>457.2</v>
      </c>
      <c r="F6" s="4">
        <f t="shared" si="3"/>
        <v>330.2</v>
      </c>
      <c r="G6" s="4">
        <f t="shared" si="4"/>
        <v>457</v>
      </c>
      <c r="H6" s="4" t="str">
        <f t="shared" si="5"/>
        <v>Binh thuong</v>
      </c>
      <c r="K6" s="5"/>
    </row>
    <row r="7" ht="14.25" customHeight="1">
      <c r="A7" s="4" t="s">
        <v>22</v>
      </c>
      <c r="B7" s="4">
        <v>36.0</v>
      </c>
      <c r="C7" s="4" t="s">
        <v>10</v>
      </c>
      <c r="D7" s="4" t="str">
        <f t="shared" si="1"/>
        <v>Safety Stock</v>
      </c>
      <c r="E7" s="4">
        <f t="shared" si="2"/>
        <v>14.4</v>
      </c>
      <c r="F7" s="4">
        <f t="shared" si="3"/>
        <v>10.4</v>
      </c>
      <c r="G7" s="4">
        <f t="shared" si="4"/>
        <v>14</v>
      </c>
      <c r="H7" s="4" t="str">
        <f t="shared" si="5"/>
        <v>Binh thuong</v>
      </c>
    </row>
    <row r="8" ht="14.25" customHeight="1">
      <c r="A8" s="4" t="s">
        <v>23</v>
      </c>
      <c r="B8" s="4">
        <v>114.0</v>
      </c>
      <c r="C8" s="4" t="s">
        <v>10</v>
      </c>
      <c r="D8" s="4" t="str">
        <f t="shared" si="1"/>
        <v>Safety Stock</v>
      </c>
      <c r="E8" s="4">
        <f t="shared" si="2"/>
        <v>45.6</v>
      </c>
      <c r="F8" s="4">
        <f t="shared" si="3"/>
        <v>32.93333333</v>
      </c>
      <c r="G8" s="4">
        <f t="shared" si="4"/>
        <v>46</v>
      </c>
      <c r="H8" s="4" t="str">
        <f t="shared" si="5"/>
        <v>Binh thuong</v>
      </c>
    </row>
    <row r="9" ht="14.25" customHeight="1">
      <c r="A9" s="4" t="s">
        <v>24</v>
      </c>
      <c r="B9" s="4">
        <v>684.0</v>
      </c>
      <c r="C9" s="4" t="s">
        <v>10</v>
      </c>
      <c r="D9" s="4" t="str">
        <f t="shared" si="1"/>
        <v>Safety Stock</v>
      </c>
      <c r="E9" s="4">
        <f t="shared" si="2"/>
        <v>273.6</v>
      </c>
      <c r="F9" s="4">
        <f t="shared" si="3"/>
        <v>197.6</v>
      </c>
      <c r="G9" s="4">
        <f t="shared" si="4"/>
        <v>274</v>
      </c>
      <c r="H9" s="4" t="str">
        <f t="shared" si="5"/>
        <v>Binh thuong</v>
      </c>
    </row>
    <row r="10" ht="14.25" customHeight="1">
      <c r="A10" s="4" t="s">
        <v>25</v>
      </c>
      <c r="B10" s="4">
        <v>83.0</v>
      </c>
      <c r="C10" s="4" t="s">
        <v>10</v>
      </c>
      <c r="D10" s="4" t="str">
        <f t="shared" si="1"/>
        <v>Safety Stock</v>
      </c>
      <c r="E10" s="4">
        <f t="shared" si="2"/>
        <v>33.2</v>
      </c>
      <c r="F10" s="4">
        <f t="shared" si="3"/>
        <v>23.97777778</v>
      </c>
      <c r="G10" s="4">
        <f t="shared" si="4"/>
        <v>33</v>
      </c>
      <c r="H10" s="4" t="str">
        <f t="shared" si="5"/>
        <v>Binh thuong</v>
      </c>
    </row>
    <row r="11" ht="14.25" customHeight="1">
      <c r="A11" s="4" t="s">
        <v>26</v>
      </c>
      <c r="B11" s="4">
        <v>995.0</v>
      </c>
      <c r="C11" s="4" t="s">
        <v>10</v>
      </c>
      <c r="D11" s="4" t="str">
        <f t="shared" si="1"/>
        <v>Safety Stock</v>
      </c>
      <c r="E11" s="4">
        <f t="shared" si="2"/>
        <v>398</v>
      </c>
      <c r="F11" s="4">
        <f t="shared" si="3"/>
        <v>287.4444444</v>
      </c>
      <c r="G11" s="4">
        <f t="shared" si="4"/>
        <v>398</v>
      </c>
      <c r="H11" s="4" t="str">
        <f t="shared" si="5"/>
        <v>Binh thuong</v>
      </c>
    </row>
    <row r="12" ht="14.25" customHeight="1">
      <c r="A12" s="4" t="s">
        <v>27</v>
      </c>
      <c r="B12" s="4">
        <v>79.0</v>
      </c>
      <c r="C12" s="4" t="s">
        <v>10</v>
      </c>
      <c r="D12" s="4" t="str">
        <f t="shared" si="1"/>
        <v>Safety Stock</v>
      </c>
      <c r="E12" s="4">
        <f t="shared" si="2"/>
        <v>31.6</v>
      </c>
      <c r="F12" s="4">
        <f t="shared" si="3"/>
        <v>22.82222222</v>
      </c>
      <c r="G12" s="4">
        <f t="shared" si="4"/>
        <v>32</v>
      </c>
      <c r="H12" s="4" t="str">
        <f t="shared" si="5"/>
        <v>Binh thuong</v>
      </c>
    </row>
    <row r="13" ht="14.25" customHeight="1">
      <c r="A13" s="4" t="s">
        <v>28</v>
      </c>
      <c r="B13" s="4">
        <v>1714.0</v>
      </c>
      <c r="C13" s="4" t="s">
        <v>10</v>
      </c>
      <c r="D13" s="4" t="str">
        <f t="shared" si="1"/>
        <v>Safety Stock</v>
      </c>
      <c r="E13" s="4">
        <f t="shared" si="2"/>
        <v>685.6</v>
      </c>
      <c r="F13" s="4">
        <f t="shared" si="3"/>
        <v>495.1555556</v>
      </c>
      <c r="G13" s="4">
        <f t="shared" si="4"/>
        <v>686</v>
      </c>
      <c r="H13" s="4" t="str">
        <f t="shared" si="5"/>
        <v>Binh thuong</v>
      </c>
    </row>
    <row r="14" ht="14.25" customHeight="1">
      <c r="A14" s="4" t="s">
        <v>29</v>
      </c>
      <c r="B14" s="4">
        <v>3322.0</v>
      </c>
      <c r="C14" s="4" t="s">
        <v>10</v>
      </c>
      <c r="D14" s="4" t="str">
        <f t="shared" si="1"/>
        <v>Safety Stock</v>
      </c>
      <c r="E14" s="4">
        <f t="shared" si="2"/>
        <v>1328.8</v>
      </c>
      <c r="F14" s="4">
        <f t="shared" si="3"/>
        <v>959.6888889</v>
      </c>
      <c r="G14" s="4">
        <f t="shared" si="4"/>
        <v>1329</v>
      </c>
      <c r="H14" s="4" t="str">
        <f t="shared" si="5"/>
        <v>Binh thuong</v>
      </c>
    </row>
    <row r="15" ht="14.25" customHeight="1">
      <c r="A15" s="4" t="s">
        <v>30</v>
      </c>
      <c r="B15" s="4">
        <v>35.0</v>
      </c>
      <c r="C15" s="4" t="s">
        <v>10</v>
      </c>
      <c r="D15" s="4" t="str">
        <f t="shared" si="1"/>
        <v>Safety Stock</v>
      </c>
      <c r="E15" s="4">
        <f t="shared" si="2"/>
        <v>14</v>
      </c>
      <c r="F15" s="4">
        <f t="shared" si="3"/>
        <v>10.11111111</v>
      </c>
      <c r="G15" s="4">
        <f t="shared" si="4"/>
        <v>14</v>
      </c>
      <c r="H15" s="4" t="str">
        <f t="shared" si="5"/>
        <v>Binh thuong</v>
      </c>
    </row>
    <row r="16" ht="14.25" customHeight="1">
      <c r="A16" s="4" t="s">
        <v>31</v>
      </c>
      <c r="B16" s="4">
        <v>1039.0</v>
      </c>
      <c r="C16" s="4" t="s">
        <v>10</v>
      </c>
      <c r="D16" s="4" t="str">
        <f t="shared" si="1"/>
        <v>Safety Stock</v>
      </c>
      <c r="E16" s="4">
        <f t="shared" si="2"/>
        <v>415.6</v>
      </c>
      <c r="F16" s="4">
        <f t="shared" si="3"/>
        <v>300.1555556</v>
      </c>
      <c r="G16" s="4">
        <f t="shared" si="4"/>
        <v>416</v>
      </c>
      <c r="H16" s="4" t="str">
        <f t="shared" si="5"/>
        <v>Binh thuong</v>
      </c>
    </row>
    <row r="17" ht="14.25" customHeight="1">
      <c r="A17" s="4" t="s">
        <v>32</v>
      </c>
      <c r="B17" s="4">
        <v>354.0</v>
      </c>
      <c r="C17" s="4" t="s">
        <v>10</v>
      </c>
      <c r="D17" s="4" t="str">
        <f t="shared" si="1"/>
        <v>Safety Stock</v>
      </c>
      <c r="E17" s="4">
        <f t="shared" si="2"/>
        <v>141.6</v>
      </c>
      <c r="F17" s="4">
        <f t="shared" si="3"/>
        <v>102.2666667</v>
      </c>
      <c r="G17" s="4">
        <f t="shared" si="4"/>
        <v>142</v>
      </c>
      <c r="H17" s="4" t="str">
        <f t="shared" si="5"/>
        <v>Binh thuong</v>
      </c>
    </row>
    <row r="18" ht="14.25" customHeight="1">
      <c r="A18" s="4" t="s">
        <v>33</v>
      </c>
      <c r="B18" s="4">
        <v>1600.0</v>
      </c>
      <c r="C18" s="4" t="s">
        <v>10</v>
      </c>
      <c r="D18" s="4" t="str">
        <f t="shared" si="1"/>
        <v>Safety Stock</v>
      </c>
      <c r="E18" s="4">
        <f t="shared" si="2"/>
        <v>640</v>
      </c>
      <c r="F18" s="4">
        <f t="shared" si="3"/>
        <v>462.2222222</v>
      </c>
      <c r="G18" s="4">
        <f t="shared" si="4"/>
        <v>640</v>
      </c>
      <c r="H18" s="4" t="str">
        <f t="shared" si="5"/>
        <v>Binh thuong</v>
      </c>
    </row>
    <row r="19" ht="14.25" customHeight="1">
      <c r="A19" s="4" t="s">
        <v>34</v>
      </c>
      <c r="B19" s="4">
        <v>640.0</v>
      </c>
      <c r="C19" s="4" t="s">
        <v>10</v>
      </c>
      <c r="D19" s="4" t="str">
        <f t="shared" si="1"/>
        <v>Safety Stock</v>
      </c>
      <c r="E19" s="4">
        <f t="shared" si="2"/>
        <v>256</v>
      </c>
      <c r="F19" s="4">
        <f t="shared" si="3"/>
        <v>184.8888889</v>
      </c>
      <c r="G19" s="4">
        <f t="shared" si="4"/>
        <v>256</v>
      </c>
      <c r="H19" s="4" t="str">
        <f t="shared" si="5"/>
        <v>Binh thuong</v>
      </c>
    </row>
    <row r="20" ht="14.25" customHeight="1">
      <c r="A20" s="4" t="s">
        <v>35</v>
      </c>
      <c r="B20" s="4">
        <v>640.0</v>
      </c>
      <c r="C20" s="4" t="s">
        <v>10</v>
      </c>
      <c r="D20" s="4" t="str">
        <f t="shared" si="1"/>
        <v>Safety Stock</v>
      </c>
      <c r="E20" s="4">
        <f t="shared" si="2"/>
        <v>256</v>
      </c>
      <c r="F20" s="4">
        <f t="shared" si="3"/>
        <v>184.8888889</v>
      </c>
      <c r="G20" s="4">
        <f t="shared" si="4"/>
        <v>256</v>
      </c>
      <c r="H20" s="4" t="str">
        <f t="shared" si="5"/>
        <v>Binh thuong</v>
      </c>
    </row>
    <row r="21" ht="14.25" customHeight="1">
      <c r="A21" s="4" t="s">
        <v>36</v>
      </c>
      <c r="B21" s="4">
        <v>2080.0</v>
      </c>
      <c r="C21" s="4" t="s">
        <v>10</v>
      </c>
      <c r="D21" s="4" t="str">
        <f t="shared" si="1"/>
        <v>Safety Stock</v>
      </c>
      <c r="E21" s="4">
        <f t="shared" si="2"/>
        <v>832</v>
      </c>
      <c r="F21" s="4">
        <f t="shared" si="3"/>
        <v>600.8888889</v>
      </c>
      <c r="G21" s="4">
        <f t="shared" si="4"/>
        <v>832</v>
      </c>
      <c r="H21" s="4" t="str">
        <f t="shared" si="5"/>
        <v>Binh thuong</v>
      </c>
    </row>
    <row r="22" ht="14.25" customHeight="1">
      <c r="A22" s="4" t="s">
        <v>37</v>
      </c>
      <c r="B22" s="4">
        <v>320.0</v>
      </c>
      <c r="C22" s="4" t="s">
        <v>10</v>
      </c>
      <c r="D22" s="4" t="str">
        <f t="shared" si="1"/>
        <v>Safety Stock</v>
      </c>
      <c r="E22" s="4">
        <f t="shared" si="2"/>
        <v>128</v>
      </c>
      <c r="F22" s="4">
        <f t="shared" si="3"/>
        <v>92.44444444</v>
      </c>
      <c r="G22" s="4">
        <f t="shared" si="4"/>
        <v>128</v>
      </c>
      <c r="H22" s="4" t="str">
        <f t="shared" si="5"/>
        <v>Binh thuong</v>
      </c>
    </row>
    <row r="23" ht="14.25" customHeight="1">
      <c r="A23" s="4" t="s">
        <v>38</v>
      </c>
      <c r="B23" s="4">
        <v>420.0</v>
      </c>
      <c r="C23" s="4" t="s">
        <v>10</v>
      </c>
      <c r="D23" s="4" t="str">
        <f t="shared" si="1"/>
        <v>Safety Stock</v>
      </c>
      <c r="E23" s="4">
        <f t="shared" si="2"/>
        <v>168</v>
      </c>
      <c r="F23" s="4">
        <f t="shared" si="3"/>
        <v>121.3333333</v>
      </c>
      <c r="G23" s="4">
        <f t="shared" si="4"/>
        <v>168</v>
      </c>
      <c r="H23" s="4" t="str">
        <f t="shared" si="5"/>
        <v>Binh thuong</v>
      </c>
    </row>
    <row r="24" ht="14.25" customHeight="1">
      <c r="A24" s="4" t="s">
        <v>39</v>
      </c>
      <c r="B24" s="4">
        <v>537.0</v>
      </c>
      <c r="C24" s="4" t="s">
        <v>10</v>
      </c>
      <c r="D24" s="4" t="str">
        <f t="shared" si="1"/>
        <v>Safety Stock</v>
      </c>
      <c r="E24" s="4">
        <f t="shared" si="2"/>
        <v>214.8</v>
      </c>
      <c r="F24" s="4">
        <f t="shared" si="3"/>
        <v>155.1333333</v>
      </c>
      <c r="G24" s="4">
        <f t="shared" si="4"/>
        <v>215</v>
      </c>
      <c r="H24" s="4" t="str">
        <f t="shared" si="5"/>
        <v>Binh thuong</v>
      </c>
    </row>
    <row r="25" ht="14.25" customHeight="1">
      <c r="A25" s="4" t="s">
        <v>40</v>
      </c>
      <c r="B25" s="4">
        <v>960.0</v>
      </c>
      <c r="C25" s="4" t="s">
        <v>10</v>
      </c>
      <c r="D25" s="4" t="str">
        <f t="shared" si="1"/>
        <v>Safety Stock</v>
      </c>
      <c r="E25" s="4">
        <f t="shared" si="2"/>
        <v>384</v>
      </c>
      <c r="F25" s="4">
        <f t="shared" si="3"/>
        <v>277.3333333</v>
      </c>
      <c r="G25" s="4">
        <f t="shared" si="4"/>
        <v>384</v>
      </c>
      <c r="H25" s="4" t="str">
        <f t="shared" si="5"/>
        <v>Binh thuong</v>
      </c>
    </row>
    <row r="26" ht="14.25" customHeight="1">
      <c r="A26" s="4" t="s">
        <v>41</v>
      </c>
      <c r="B26" s="4">
        <v>640.0</v>
      </c>
      <c r="C26" s="4" t="s">
        <v>10</v>
      </c>
      <c r="D26" s="4" t="str">
        <f t="shared" si="1"/>
        <v>Safety Stock</v>
      </c>
      <c r="E26" s="4">
        <f t="shared" si="2"/>
        <v>256</v>
      </c>
      <c r="F26" s="4">
        <f t="shared" si="3"/>
        <v>184.8888889</v>
      </c>
      <c r="G26" s="4">
        <f t="shared" si="4"/>
        <v>256</v>
      </c>
      <c r="H26" s="4" t="str">
        <f t="shared" si="5"/>
        <v>Binh thuong</v>
      </c>
    </row>
    <row r="27" ht="14.25" customHeight="1">
      <c r="A27" s="4" t="s">
        <v>42</v>
      </c>
      <c r="B27" s="4">
        <v>21600.0</v>
      </c>
      <c r="C27" s="4" t="s">
        <v>10</v>
      </c>
      <c r="D27" s="4" t="str">
        <f t="shared" si="1"/>
        <v>Safety Stock</v>
      </c>
      <c r="E27" s="4">
        <f t="shared" si="2"/>
        <v>8640</v>
      </c>
      <c r="F27" s="4">
        <f t="shared" si="3"/>
        <v>6240</v>
      </c>
      <c r="G27" s="4">
        <f t="shared" si="4"/>
        <v>8640</v>
      </c>
      <c r="H27" s="4" t="str">
        <f t="shared" si="5"/>
        <v>Binh thuong</v>
      </c>
    </row>
    <row r="28" ht="14.25" customHeight="1">
      <c r="A28" s="4" t="s">
        <v>43</v>
      </c>
      <c r="B28" s="4">
        <v>160.0</v>
      </c>
      <c r="C28" s="4" t="s">
        <v>10</v>
      </c>
      <c r="D28" s="4" t="str">
        <f t="shared" si="1"/>
        <v>Safety Stock</v>
      </c>
      <c r="E28" s="4">
        <f t="shared" si="2"/>
        <v>64</v>
      </c>
      <c r="F28" s="4">
        <f t="shared" si="3"/>
        <v>46.22222222</v>
      </c>
      <c r="G28" s="4">
        <f t="shared" si="4"/>
        <v>64</v>
      </c>
      <c r="H28" s="4" t="str">
        <f t="shared" si="5"/>
        <v>Binh thuong</v>
      </c>
    </row>
    <row r="29" ht="14.25" customHeight="1">
      <c r="A29" s="4" t="s">
        <v>44</v>
      </c>
      <c r="B29" s="4">
        <v>1440.0</v>
      </c>
      <c r="C29" s="4" t="s">
        <v>10</v>
      </c>
      <c r="D29" s="4" t="str">
        <f t="shared" si="1"/>
        <v>Safety Stock</v>
      </c>
      <c r="E29" s="4">
        <f t="shared" si="2"/>
        <v>576</v>
      </c>
      <c r="F29" s="4">
        <f t="shared" si="3"/>
        <v>416</v>
      </c>
      <c r="G29" s="4">
        <f t="shared" si="4"/>
        <v>576</v>
      </c>
      <c r="H29" s="4" t="str">
        <f t="shared" si="5"/>
        <v>Binh thuong</v>
      </c>
    </row>
    <row r="30" ht="14.25" customHeight="1">
      <c r="A30" s="4" t="s">
        <v>45</v>
      </c>
      <c r="B30" s="4">
        <v>320.0</v>
      </c>
      <c r="C30" s="4" t="s">
        <v>10</v>
      </c>
      <c r="D30" s="4" t="str">
        <f t="shared" si="1"/>
        <v>Safety Stock</v>
      </c>
      <c r="E30" s="4">
        <f t="shared" si="2"/>
        <v>128</v>
      </c>
      <c r="F30" s="4">
        <f t="shared" si="3"/>
        <v>92.44444444</v>
      </c>
      <c r="G30" s="4">
        <f t="shared" si="4"/>
        <v>128</v>
      </c>
      <c r="H30" s="4" t="str">
        <f t="shared" si="5"/>
        <v>Binh thuong</v>
      </c>
    </row>
    <row r="31" ht="14.25" customHeight="1">
      <c r="A31" s="4" t="s">
        <v>46</v>
      </c>
      <c r="B31" s="4">
        <v>2400.0</v>
      </c>
      <c r="C31" s="4" t="s">
        <v>10</v>
      </c>
      <c r="D31" s="4" t="str">
        <f t="shared" si="1"/>
        <v>Safety Stock</v>
      </c>
      <c r="E31" s="4">
        <f t="shared" si="2"/>
        <v>960</v>
      </c>
      <c r="F31" s="4">
        <f t="shared" si="3"/>
        <v>693.3333333</v>
      </c>
      <c r="G31" s="4">
        <f t="shared" si="4"/>
        <v>960</v>
      </c>
      <c r="H31" s="4" t="str">
        <f t="shared" si="5"/>
        <v>Binh thuong</v>
      </c>
    </row>
    <row r="32" ht="14.25" customHeight="1">
      <c r="A32" s="4" t="s">
        <v>47</v>
      </c>
      <c r="B32" s="4">
        <v>4264.0</v>
      </c>
      <c r="C32" s="4" t="s">
        <v>10</v>
      </c>
      <c r="D32" s="4" t="str">
        <f t="shared" si="1"/>
        <v>Safety Stock</v>
      </c>
      <c r="E32" s="4">
        <f t="shared" si="2"/>
        <v>1705.6</v>
      </c>
      <c r="F32" s="4">
        <f t="shared" si="3"/>
        <v>1231.822222</v>
      </c>
      <c r="G32" s="4">
        <f t="shared" si="4"/>
        <v>1706</v>
      </c>
      <c r="H32" s="4" t="str">
        <f t="shared" si="5"/>
        <v>Binh thuong</v>
      </c>
    </row>
    <row r="33" ht="14.25" customHeight="1">
      <c r="A33" s="4" t="s">
        <v>48</v>
      </c>
      <c r="B33" s="4">
        <v>720.0</v>
      </c>
      <c r="C33" s="4" t="s">
        <v>10</v>
      </c>
      <c r="D33" s="4" t="str">
        <f t="shared" si="1"/>
        <v>Safety Stock</v>
      </c>
      <c r="E33" s="4">
        <f t="shared" si="2"/>
        <v>288</v>
      </c>
      <c r="F33" s="4">
        <f t="shared" si="3"/>
        <v>208</v>
      </c>
      <c r="G33" s="4">
        <f t="shared" si="4"/>
        <v>288</v>
      </c>
      <c r="H33" s="4" t="str">
        <f t="shared" si="5"/>
        <v>Binh thuong</v>
      </c>
    </row>
    <row r="34" ht="14.25" customHeight="1">
      <c r="A34" s="4" t="s">
        <v>49</v>
      </c>
      <c r="B34" s="4">
        <v>2080.0</v>
      </c>
      <c r="C34" s="4" t="s">
        <v>10</v>
      </c>
      <c r="D34" s="4" t="str">
        <f t="shared" si="1"/>
        <v>Safety Stock</v>
      </c>
      <c r="E34" s="4">
        <f t="shared" si="2"/>
        <v>832</v>
      </c>
      <c r="F34" s="4">
        <f t="shared" si="3"/>
        <v>600.8888889</v>
      </c>
      <c r="G34" s="4">
        <f t="shared" si="4"/>
        <v>832</v>
      </c>
      <c r="H34" s="4" t="str">
        <f t="shared" si="5"/>
        <v>Binh thuong</v>
      </c>
    </row>
    <row r="35" ht="14.25" customHeight="1">
      <c r="A35" s="4" t="s">
        <v>50</v>
      </c>
      <c r="B35" s="4">
        <v>1408.0</v>
      </c>
      <c r="C35" s="4" t="s">
        <v>10</v>
      </c>
      <c r="D35" s="4" t="str">
        <f t="shared" si="1"/>
        <v>Safety Stock</v>
      </c>
      <c r="E35" s="4">
        <f t="shared" si="2"/>
        <v>563.2</v>
      </c>
      <c r="F35" s="4">
        <f t="shared" si="3"/>
        <v>406.7555556</v>
      </c>
      <c r="G35" s="4">
        <f t="shared" si="4"/>
        <v>563</v>
      </c>
      <c r="H35" s="4" t="str">
        <f t="shared" si="5"/>
        <v>Binh thuong</v>
      </c>
    </row>
    <row r="36" ht="14.25" customHeight="1">
      <c r="A36" s="4" t="s">
        <v>51</v>
      </c>
      <c r="B36" s="4">
        <v>6072.0</v>
      </c>
      <c r="C36" s="4" t="s">
        <v>10</v>
      </c>
      <c r="D36" s="4" t="str">
        <f t="shared" si="1"/>
        <v>Safety Stock</v>
      </c>
      <c r="E36" s="4">
        <f t="shared" si="2"/>
        <v>2428.8</v>
      </c>
      <c r="F36" s="4">
        <f t="shared" si="3"/>
        <v>1754.133333</v>
      </c>
      <c r="G36" s="4">
        <f t="shared" si="4"/>
        <v>2429</v>
      </c>
      <c r="H36" s="4" t="str">
        <f t="shared" si="5"/>
        <v>Binh thuong</v>
      </c>
    </row>
    <row r="37" ht="14.25" customHeight="1">
      <c r="A37" s="4" t="s">
        <v>52</v>
      </c>
      <c r="B37" s="4">
        <v>1472.0</v>
      </c>
      <c r="C37" s="4" t="s">
        <v>10</v>
      </c>
      <c r="D37" s="4" t="str">
        <f t="shared" si="1"/>
        <v>Safety Stock</v>
      </c>
      <c r="E37" s="4">
        <f t="shared" si="2"/>
        <v>588.8</v>
      </c>
      <c r="F37" s="4">
        <f t="shared" si="3"/>
        <v>425.2444444</v>
      </c>
      <c r="G37" s="4">
        <f t="shared" si="4"/>
        <v>589</v>
      </c>
      <c r="H37" s="4" t="str">
        <f t="shared" si="5"/>
        <v>Binh thuong</v>
      </c>
    </row>
    <row r="38" ht="14.25" customHeight="1">
      <c r="A38" s="4" t="s">
        <v>53</v>
      </c>
      <c r="B38" s="4">
        <v>2744.0</v>
      </c>
      <c r="C38" s="4" t="s">
        <v>10</v>
      </c>
      <c r="D38" s="4" t="str">
        <f t="shared" si="1"/>
        <v>Safety Stock</v>
      </c>
      <c r="E38" s="4">
        <f t="shared" si="2"/>
        <v>1097.6</v>
      </c>
      <c r="F38" s="4">
        <f t="shared" si="3"/>
        <v>792.7111111</v>
      </c>
      <c r="G38" s="4">
        <f t="shared" si="4"/>
        <v>1098</v>
      </c>
      <c r="H38" s="4" t="str">
        <f t="shared" si="5"/>
        <v>Binh thuong</v>
      </c>
    </row>
    <row r="39" ht="14.25" customHeight="1">
      <c r="A39" s="4" t="s">
        <v>54</v>
      </c>
      <c r="B39" s="4">
        <v>1272.0</v>
      </c>
      <c r="C39" s="4" t="s">
        <v>10</v>
      </c>
      <c r="D39" s="4" t="str">
        <f t="shared" si="1"/>
        <v>Safety Stock</v>
      </c>
      <c r="E39" s="4">
        <f t="shared" si="2"/>
        <v>508.8</v>
      </c>
      <c r="F39" s="4">
        <f t="shared" si="3"/>
        <v>367.4666667</v>
      </c>
      <c r="G39" s="4">
        <f t="shared" si="4"/>
        <v>509</v>
      </c>
      <c r="H39" s="4" t="str">
        <f t="shared" si="5"/>
        <v>Binh thuong</v>
      </c>
    </row>
    <row r="40" ht="14.25" customHeight="1">
      <c r="A40" s="4" t="s">
        <v>55</v>
      </c>
      <c r="B40" s="4">
        <v>1836.0</v>
      </c>
      <c r="C40" s="4" t="s">
        <v>10</v>
      </c>
      <c r="D40" s="4" t="str">
        <f t="shared" si="1"/>
        <v>Safety Stock</v>
      </c>
      <c r="E40" s="4">
        <f t="shared" si="2"/>
        <v>734.4</v>
      </c>
      <c r="F40" s="4">
        <f t="shared" si="3"/>
        <v>530.4</v>
      </c>
      <c r="G40" s="4">
        <f t="shared" si="4"/>
        <v>734</v>
      </c>
      <c r="H40" s="4" t="str">
        <f t="shared" si="5"/>
        <v>Binh thuong</v>
      </c>
    </row>
    <row r="41" ht="14.25" customHeight="1">
      <c r="A41" s="4" t="s">
        <v>56</v>
      </c>
      <c r="B41" s="4">
        <v>3492.0</v>
      </c>
      <c r="C41" s="4" t="s">
        <v>10</v>
      </c>
      <c r="D41" s="4" t="str">
        <f t="shared" si="1"/>
        <v>Safety Stock</v>
      </c>
      <c r="E41" s="4">
        <f t="shared" si="2"/>
        <v>1396.8</v>
      </c>
      <c r="F41" s="4">
        <f t="shared" si="3"/>
        <v>1008.8</v>
      </c>
      <c r="G41" s="4">
        <f t="shared" si="4"/>
        <v>1397</v>
      </c>
      <c r="H41" s="4" t="str">
        <f t="shared" si="5"/>
        <v>Binh thuong</v>
      </c>
    </row>
    <row r="42" ht="14.25" customHeight="1">
      <c r="A42" s="4" t="s">
        <v>57</v>
      </c>
      <c r="B42" s="4">
        <v>2368.0</v>
      </c>
      <c r="C42" s="4" t="s">
        <v>10</v>
      </c>
      <c r="D42" s="4" t="str">
        <f t="shared" si="1"/>
        <v>Safety Stock</v>
      </c>
      <c r="E42" s="4">
        <f t="shared" si="2"/>
        <v>947.2</v>
      </c>
      <c r="F42" s="4">
        <f t="shared" si="3"/>
        <v>684.0888889</v>
      </c>
      <c r="G42" s="4">
        <f t="shared" si="4"/>
        <v>947</v>
      </c>
      <c r="H42" s="4" t="str">
        <f t="shared" si="5"/>
        <v>Binh thuong</v>
      </c>
    </row>
    <row r="43" ht="14.25" customHeight="1">
      <c r="A43" s="4" t="s">
        <v>58</v>
      </c>
      <c r="B43" s="4">
        <v>1600.0</v>
      </c>
      <c r="C43" s="4" t="s">
        <v>10</v>
      </c>
      <c r="D43" s="4" t="str">
        <f t="shared" si="1"/>
        <v>Safety Stock</v>
      </c>
      <c r="E43" s="4">
        <f t="shared" si="2"/>
        <v>640</v>
      </c>
      <c r="F43" s="4">
        <f t="shared" si="3"/>
        <v>462.2222222</v>
      </c>
      <c r="G43" s="4">
        <f t="shared" si="4"/>
        <v>640</v>
      </c>
      <c r="H43" s="4" t="str">
        <f t="shared" si="5"/>
        <v>Binh thuong</v>
      </c>
    </row>
    <row r="44" ht="14.25" customHeight="1">
      <c r="A44" s="4" t="s">
        <v>59</v>
      </c>
      <c r="B44" s="4">
        <v>2880.0</v>
      </c>
      <c r="C44" s="4" t="s">
        <v>10</v>
      </c>
      <c r="D44" s="4" t="str">
        <f t="shared" si="1"/>
        <v>Safety Stock</v>
      </c>
      <c r="E44" s="4">
        <f t="shared" si="2"/>
        <v>1152</v>
      </c>
      <c r="F44" s="4">
        <f t="shared" si="3"/>
        <v>832</v>
      </c>
      <c r="G44" s="4">
        <f t="shared" si="4"/>
        <v>1152</v>
      </c>
      <c r="H44" s="4" t="str">
        <f t="shared" si="5"/>
        <v>Binh thuong</v>
      </c>
    </row>
    <row r="45" ht="14.25" customHeight="1">
      <c r="A45" s="4" t="s">
        <v>60</v>
      </c>
      <c r="B45" s="4">
        <v>880.0</v>
      </c>
      <c r="C45" s="4" t="s">
        <v>10</v>
      </c>
      <c r="D45" s="4" t="str">
        <f t="shared" si="1"/>
        <v>Safety Stock</v>
      </c>
      <c r="E45" s="4">
        <f t="shared" si="2"/>
        <v>352</v>
      </c>
      <c r="F45" s="4">
        <f t="shared" si="3"/>
        <v>254.2222222</v>
      </c>
      <c r="G45" s="4">
        <f t="shared" si="4"/>
        <v>352</v>
      </c>
      <c r="H45" s="4" t="str">
        <f t="shared" si="5"/>
        <v>Binh thuong</v>
      </c>
    </row>
    <row r="46" ht="14.25" customHeight="1">
      <c r="A46" s="4" t="s">
        <v>61</v>
      </c>
      <c r="B46" s="4">
        <v>3776.0</v>
      </c>
      <c r="C46" s="4" t="s">
        <v>10</v>
      </c>
      <c r="D46" s="4" t="str">
        <f t="shared" si="1"/>
        <v>Safety Stock</v>
      </c>
      <c r="E46" s="4">
        <f t="shared" si="2"/>
        <v>1510.4</v>
      </c>
      <c r="F46" s="4">
        <f t="shared" si="3"/>
        <v>1090.844444</v>
      </c>
      <c r="G46" s="4">
        <f t="shared" si="4"/>
        <v>1510</v>
      </c>
      <c r="H46" s="4" t="str">
        <f t="shared" si="5"/>
        <v>Binh thuong</v>
      </c>
    </row>
    <row r="47" ht="14.25" customHeight="1">
      <c r="A47" s="4" t="s">
        <v>62</v>
      </c>
      <c r="B47" s="4">
        <v>288.0</v>
      </c>
      <c r="C47" s="4" t="s">
        <v>10</v>
      </c>
      <c r="D47" s="4" t="str">
        <f t="shared" si="1"/>
        <v>Safety Stock</v>
      </c>
      <c r="E47" s="4">
        <f t="shared" si="2"/>
        <v>115.2</v>
      </c>
      <c r="F47" s="4">
        <f t="shared" si="3"/>
        <v>83.2</v>
      </c>
      <c r="G47" s="4">
        <f t="shared" si="4"/>
        <v>115</v>
      </c>
      <c r="H47" s="4" t="str">
        <f t="shared" si="5"/>
        <v>Binh thuong</v>
      </c>
    </row>
    <row r="48" ht="14.25" customHeight="1">
      <c r="A48" s="4" t="s">
        <v>63</v>
      </c>
      <c r="B48" s="4">
        <v>3040.0</v>
      </c>
      <c r="C48" s="4" t="s">
        <v>10</v>
      </c>
      <c r="D48" s="4" t="str">
        <f t="shared" si="1"/>
        <v>Safety Stock</v>
      </c>
      <c r="E48" s="4">
        <f t="shared" si="2"/>
        <v>1216</v>
      </c>
      <c r="F48" s="4">
        <f t="shared" si="3"/>
        <v>878.2222222</v>
      </c>
      <c r="G48" s="4">
        <f t="shared" si="4"/>
        <v>1216</v>
      </c>
      <c r="H48" s="4" t="str">
        <f t="shared" si="5"/>
        <v>Binh thuong</v>
      </c>
    </row>
    <row r="49" ht="14.25" customHeight="1">
      <c r="A49" s="4" t="s">
        <v>64</v>
      </c>
      <c r="B49" s="4">
        <v>504.0</v>
      </c>
      <c r="C49" s="4" t="s">
        <v>10</v>
      </c>
      <c r="D49" s="4" t="str">
        <f t="shared" si="1"/>
        <v>Safety Stock</v>
      </c>
      <c r="E49" s="4">
        <f t="shared" si="2"/>
        <v>201.6</v>
      </c>
      <c r="F49" s="4">
        <f t="shared" si="3"/>
        <v>145.6</v>
      </c>
      <c r="G49" s="4">
        <f t="shared" si="4"/>
        <v>202</v>
      </c>
      <c r="H49" s="4" t="str">
        <f t="shared" si="5"/>
        <v>Binh thuong</v>
      </c>
    </row>
    <row r="50" ht="14.25" customHeight="1">
      <c r="A50" s="4" t="s">
        <v>65</v>
      </c>
      <c r="B50" s="4">
        <v>1608.0</v>
      </c>
      <c r="C50" s="4" t="s">
        <v>10</v>
      </c>
      <c r="D50" s="4" t="str">
        <f t="shared" si="1"/>
        <v>Safety Stock</v>
      </c>
      <c r="E50" s="4">
        <f t="shared" si="2"/>
        <v>643.2</v>
      </c>
      <c r="F50" s="4">
        <f t="shared" si="3"/>
        <v>464.5333333</v>
      </c>
      <c r="G50" s="4">
        <f t="shared" si="4"/>
        <v>643</v>
      </c>
      <c r="H50" s="4" t="str">
        <f t="shared" si="5"/>
        <v>Binh thuong</v>
      </c>
    </row>
    <row r="51" ht="14.25" customHeight="1">
      <c r="A51" s="4" t="s">
        <v>66</v>
      </c>
      <c r="B51" s="4">
        <v>512.0</v>
      </c>
      <c r="C51" s="4" t="s">
        <v>10</v>
      </c>
      <c r="D51" s="4" t="str">
        <f t="shared" si="1"/>
        <v>Safety Stock</v>
      </c>
      <c r="E51" s="4">
        <f t="shared" si="2"/>
        <v>204.8</v>
      </c>
      <c r="F51" s="4">
        <f t="shared" si="3"/>
        <v>147.9111111</v>
      </c>
      <c r="G51" s="4">
        <f t="shared" si="4"/>
        <v>205</v>
      </c>
      <c r="H51" s="4" t="str">
        <f t="shared" si="5"/>
        <v>Binh thuong</v>
      </c>
    </row>
    <row r="52" ht="14.25" customHeight="1">
      <c r="A52" s="4" t="s">
        <v>67</v>
      </c>
      <c r="B52" s="4">
        <v>2064.0</v>
      </c>
      <c r="C52" s="4" t="s">
        <v>10</v>
      </c>
      <c r="D52" s="4" t="str">
        <f t="shared" si="1"/>
        <v>Safety Stock</v>
      </c>
      <c r="E52" s="4">
        <f t="shared" si="2"/>
        <v>825.6</v>
      </c>
      <c r="F52" s="4">
        <f t="shared" si="3"/>
        <v>596.2666667</v>
      </c>
      <c r="G52" s="4">
        <f t="shared" si="4"/>
        <v>826</v>
      </c>
      <c r="H52" s="4" t="str">
        <f t="shared" si="5"/>
        <v>Binh thuong</v>
      </c>
    </row>
    <row r="53" ht="14.25" customHeight="1">
      <c r="A53" s="4" t="s">
        <v>68</v>
      </c>
      <c r="B53" s="4">
        <v>80.0</v>
      </c>
      <c r="C53" s="4" t="s">
        <v>10</v>
      </c>
      <c r="D53" s="4" t="str">
        <f t="shared" si="1"/>
        <v>Safety Stock</v>
      </c>
      <c r="E53" s="4">
        <f t="shared" si="2"/>
        <v>32</v>
      </c>
      <c r="F53" s="4">
        <f t="shared" si="3"/>
        <v>23.11111111</v>
      </c>
      <c r="G53" s="4">
        <f t="shared" si="4"/>
        <v>32</v>
      </c>
      <c r="H53" s="4" t="str">
        <f t="shared" si="5"/>
        <v>Binh thuong</v>
      </c>
    </row>
    <row r="54" ht="14.25" customHeight="1">
      <c r="A54" s="4" t="s">
        <v>69</v>
      </c>
      <c r="B54" s="4">
        <v>16.0</v>
      </c>
      <c r="C54" s="4" t="s">
        <v>10</v>
      </c>
      <c r="D54" s="4" t="str">
        <f t="shared" si="1"/>
        <v>Safety Stock</v>
      </c>
      <c r="E54" s="4">
        <f t="shared" si="2"/>
        <v>6.4</v>
      </c>
      <c r="F54" s="4">
        <f t="shared" si="3"/>
        <v>4.622222222</v>
      </c>
      <c r="G54" s="4">
        <f t="shared" si="4"/>
        <v>6</v>
      </c>
      <c r="H54" s="4" t="str">
        <f t="shared" si="5"/>
        <v>Binh thuong</v>
      </c>
    </row>
    <row r="55" ht="14.25" customHeight="1">
      <c r="A55" s="4" t="s">
        <v>70</v>
      </c>
      <c r="B55" s="4">
        <v>345.0</v>
      </c>
      <c r="C55" s="4" t="s">
        <v>10</v>
      </c>
      <c r="D55" s="4" t="str">
        <f t="shared" si="1"/>
        <v>Safety Stock</v>
      </c>
      <c r="E55" s="4">
        <f t="shared" si="2"/>
        <v>138</v>
      </c>
      <c r="F55" s="4">
        <f t="shared" si="3"/>
        <v>99.66666667</v>
      </c>
      <c r="G55" s="4">
        <f t="shared" si="4"/>
        <v>138</v>
      </c>
      <c r="H55" s="4" t="str">
        <f t="shared" si="5"/>
        <v>Binh thuong</v>
      </c>
    </row>
    <row r="56" ht="14.25" customHeight="1">
      <c r="A56" s="4" t="s">
        <v>71</v>
      </c>
      <c r="B56" s="4">
        <v>306.0</v>
      </c>
      <c r="C56" s="4" t="s">
        <v>10</v>
      </c>
      <c r="D56" s="4" t="str">
        <f t="shared" si="1"/>
        <v>Safety Stock</v>
      </c>
      <c r="E56" s="4">
        <f t="shared" si="2"/>
        <v>122.4</v>
      </c>
      <c r="F56" s="4">
        <f t="shared" si="3"/>
        <v>88.4</v>
      </c>
      <c r="G56" s="4">
        <f t="shared" si="4"/>
        <v>122</v>
      </c>
      <c r="H56" s="4" t="str">
        <f t="shared" si="5"/>
        <v>Binh thuong</v>
      </c>
    </row>
    <row r="57" ht="14.25" customHeight="1">
      <c r="A57" s="4" t="s">
        <v>72</v>
      </c>
      <c r="B57" s="4">
        <v>129.0</v>
      </c>
      <c r="C57" s="4" t="s">
        <v>10</v>
      </c>
      <c r="D57" s="4" t="str">
        <f t="shared" si="1"/>
        <v>Safety Stock</v>
      </c>
      <c r="E57" s="4">
        <f t="shared" si="2"/>
        <v>51.6</v>
      </c>
      <c r="F57" s="4">
        <f t="shared" si="3"/>
        <v>37.26666667</v>
      </c>
      <c r="G57" s="4">
        <f t="shared" si="4"/>
        <v>52</v>
      </c>
      <c r="H57" s="4" t="str">
        <f t="shared" si="5"/>
        <v>Binh thuong</v>
      </c>
    </row>
    <row r="58" ht="14.25" customHeight="1">
      <c r="A58" s="4" t="s">
        <v>73</v>
      </c>
      <c r="B58" s="4">
        <v>96.0</v>
      </c>
      <c r="C58" s="4" t="s">
        <v>10</v>
      </c>
      <c r="D58" s="4" t="str">
        <f t="shared" si="1"/>
        <v>Safety Stock</v>
      </c>
      <c r="E58" s="4">
        <f t="shared" si="2"/>
        <v>38.4</v>
      </c>
      <c r="F58" s="4">
        <f t="shared" si="3"/>
        <v>27.73333333</v>
      </c>
      <c r="G58" s="4">
        <f t="shared" si="4"/>
        <v>38</v>
      </c>
      <c r="H58" s="4" t="str">
        <f t="shared" si="5"/>
        <v>Binh thuong</v>
      </c>
    </row>
    <row r="59" ht="14.25" customHeight="1">
      <c r="A59" s="4" t="s">
        <v>74</v>
      </c>
      <c r="B59" s="4">
        <v>1182.0</v>
      </c>
      <c r="C59" s="4" t="s">
        <v>10</v>
      </c>
      <c r="D59" s="4" t="str">
        <f t="shared" si="1"/>
        <v>Safety Stock</v>
      </c>
      <c r="E59" s="4">
        <f t="shared" si="2"/>
        <v>472.8</v>
      </c>
      <c r="F59" s="4">
        <f t="shared" si="3"/>
        <v>341.4666667</v>
      </c>
      <c r="G59" s="4">
        <f t="shared" si="4"/>
        <v>473</v>
      </c>
      <c r="H59" s="4" t="str">
        <f t="shared" si="5"/>
        <v>Binh thuong</v>
      </c>
    </row>
    <row r="60" ht="14.25" customHeight="1">
      <c r="A60" s="4" t="s">
        <v>75</v>
      </c>
      <c r="B60" s="4">
        <v>126.0</v>
      </c>
      <c r="C60" s="4" t="s">
        <v>10</v>
      </c>
      <c r="D60" s="4" t="str">
        <f t="shared" si="1"/>
        <v>Safety Stock</v>
      </c>
      <c r="E60" s="4">
        <f t="shared" si="2"/>
        <v>50.4</v>
      </c>
      <c r="F60" s="4">
        <f t="shared" si="3"/>
        <v>36.4</v>
      </c>
      <c r="G60" s="4">
        <f t="shared" si="4"/>
        <v>50</v>
      </c>
      <c r="H60" s="4" t="str">
        <f t="shared" si="5"/>
        <v>Binh thuong</v>
      </c>
    </row>
    <row r="61" ht="14.25" customHeight="1">
      <c r="A61" s="4" t="s">
        <v>76</v>
      </c>
      <c r="B61" s="4">
        <v>36.0</v>
      </c>
      <c r="C61" s="4" t="s">
        <v>10</v>
      </c>
      <c r="D61" s="4" t="str">
        <f t="shared" si="1"/>
        <v>Safety Stock</v>
      </c>
      <c r="E61" s="4">
        <f t="shared" si="2"/>
        <v>14.4</v>
      </c>
      <c r="F61" s="4">
        <f t="shared" si="3"/>
        <v>10.4</v>
      </c>
      <c r="G61" s="4">
        <f t="shared" si="4"/>
        <v>14</v>
      </c>
      <c r="H61" s="4" t="str">
        <f t="shared" si="5"/>
        <v>Binh thuong</v>
      </c>
    </row>
    <row r="62" ht="14.25" customHeight="1">
      <c r="A62" s="4" t="s">
        <v>77</v>
      </c>
      <c r="B62" s="4">
        <v>9.0</v>
      </c>
      <c r="C62" s="4" t="s">
        <v>10</v>
      </c>
      <c r="D62" s="4" t="str">
        <f t="shared" si="1"/>
        <v>Safety Stock</v>
      </c>
      <c r="E62" s="4">
        <f t="shared" si="2"/>
        <v>3.6</v>
      </c>
      <c r="F62" s="4">
        <f t="shared" si="3"/>
        <v>2.6</v>
      </c>
      <c r="G62" s="4">
        <f t="shared" si="4"/>
        <v>4</v>
      </c>
      <c r="H62" s="4" t="str">
        <f t="shared" si="5"/>
        <v>Binh thuong</v>
      </c>
    </row>
    <row r="63" ht="14.25" customHeight="1">
      <c r="A63" s="4" t="s">
        <v>78</v>
      </c>
      <c r="B63" s="4">
        <v>92.0</v>
      </c>
      <c r="C63" s="4" t="s">
        <v>10</v>
      </c>
      <c r="D63" s="4" t="str">
        <f t="shared" si="1"/>
        <v>Safety Stock</v>
      </c>
      <c r="E63" s="4">
        <f t="shared" si="2"/>
        <v>36.8</v>
      </c>
      <c r="F63" s="4">
        <f t="shared" si="3"/>
        <v>26.57777778</v>
      </c>
      <c r="G63" s="4">
        <f t="shared" si="4"/>
        <v>37</v>
      </c>
      <c r="H63" s="4" t="str">
        <f t="shared" si="5"/>
        <v>Binh thuong</v>
      </c>
    </row>
    <row r="64" ht="14.25" customHeight="1">
      <c r="A64" s="4" t="s">
        <v>79</v>
      </c>
      <c r="B64" s="4">
        <v>10.0</v>
      </c>
      <c r="C64" s="4" t="s">
        <v>10</v>
      </c>
      <c r="D64" s="4" t="str">
        <f t="shared" si="1"/>
        <v>Safety Stock</v>
      </c>
      <c r="E64" s="4">
        <f t="shared" si="2"/>
        <v>4</v>
      </c>
      <c r="F64" s="4">
        <f t="shared" si="3"/>
        <v>2.888888889</v>
      </c>
      <c r="G64" s="4">
        <f t="shared" si="4"/>
        <v>4</v>
      </c>
      <c r="H64" s="4" t="str">
        <f t="shared" si="5"/>
        <v>Binh thuong</v>
      </c>
    </row>
    <row r="65" ht="14.25" customHeight="1">
      <c r="A65" s="4" t="s">
        <v>80</v>
      </c>
      <c r="B65" s="4">
        <v>34.0</v>
      </c>
      <c r="C65" s="4" t="s">
        <v>10</v>
      </c>
      <c r="D65" s="4" t="str">
        <f t="shared" si="1"/>
        <v>Safety Stock</v>
      </c>
      <c r="E65" s="4">
        <f t="shared" si="2"/>
        <v>13.6</v>
      </c>
      <c r="F65" s="4">
        <f t="shared" si="3"/>
        <v>9.822222222</v>
      </c>
      <c r="G65" s="4">
        <f t="shared" si="4"/>
        <v>14</v>
      </c>
      <c r="H65" s="4" t="str">
        <f t="shared" si="5"/>
        <v>Binh thuong</v>
      </c>
    </row>
    <row r="66" ht="14.25" customHeight="1">
      <c r="A66" s="4" t="s">
        <v>81</v>
      </c>
      <c r="B66" s="4">
        <v>600.0</v>
      </c>
      <c r="C66" s="4" t="s">
        <v>10</v>
      </c>
      <c r="D66" s="4" t="str">
        <f t="shared" si="1"/>
        <v>Safety Stock</v>
      </c>
      <c r="E66" s="4">
        <f t="shared" si="2"/>
        <v>240</v>
      </c>
      <c r="F66" s="4">
        <f t="shared" si="3"/>
        <v>173.3333333</v>
      </c>
      <c r="G66" s="4">
        <f t="shared" si="4"/>
        <v>240</v>
      </c>
      <c r="H66" s="4" t="str">
        <f t="shared" si="5"/>
        <v>Binh thuong</v>
      </c>
    </row>
    <row r="67" ht="14.25" customHeight="1">
      <c r="A67" s="4" t="s">
        <v>82</v>
      </c>
      <c r="B67" s="4">
        <v>56.0</v>
      </c>
      <c r="C67" s="4" t="s">
        <v>10</v>
      </c>
      <c r="D67" s="4" t="str">
        <f t="shared" si="1"/>
        <v>Safety Stock</v>
      </c>
      <c r="E67" s="4">
        <f t="shared" si="2"/>
        <v>22.4</v>
      </c>
      <c r="F67" s="4">
        <f t="shared" si="3"/>
        <v>16.17777778</v>
      </c>
      <c r="G67" s="4">
        <f t="shared" si="4"/>
        <v>22</v>
      </c>
      <c r="H67" s="4" t="str">
        <f t="shared" si="5"/>
        <v>Binh thuong</v>
      </c>
    </row>
    <row r="68" ht="14.25" customHeight="1">
      <c r="A68" s="4" t="s">
        <v>83</v>
      </c>
      <c r="B68" s="4">
        <v>360.0</v>
      </c>
      <c r="C68" s="4" t="s">
        <v>10</v>
      </c>
      <c r="D68" s="4" t="str">
        <f t="shared" si="1"/>
        <v>Safety Stock</v>
      </c>
      <c r="E68" s="4">
        <f t="shared" si="2"/>
        <v>144</v>
      </c>
      <c r="F68" s="4">
        <f t="shared" si="3"/>
        <v>104</v>
      </c>
      <c r="G68" s="4">
        <f t="shared" si="4"/>
        <v>144</v>
      </c>
      <c r="H68" s="4" t="str">
        <f t="shared" si="5"/>
        <v>Binh thuong</v>
      </c>
    </row>
    <row r="69" ht="14.25" customHeight="1">
      <c r="A69" s="4" t="s">
        <v>84</v>
      </c>
      <c r="B69" s="4">
        <v>4640.0</v>
      </c>
      <c r="C69" s="4" t="s">
        <v>10</v>
      </c>
      <c r="D69" s="4" t="str">
        <f t="shared" si="1"/>
        <v>Safety Stock</v>
      </c>
      <c r="E69" s="4">
        <f t="shared" si="2"/>
        <v>1856</v>
      </c>
      <c r="F69" s="4">
        <f t="shared" si="3"/>
        <v>1340.444444</v>
      </c>
      <c r="G69" s="4">
        <f t="shared" si="4"/>
        <v>1856</v>
      </c>
      <c r="H69" s="4" t="str">
        <f t="shared" si="5"/>
        <v>Binh thuong</v>
      </c>
    </row>
    <row r="70" ht="14.25" customHeight="1">
      <c r="A70" s="4" t="s">
        <v>85</v>
      </c>
      <c r="B70" s="4">
        <v>1948.0</v>
      </c>
      <c r="C70" s="4" t="s">
        <v>10</v>
      </c>
      <c r="D70" s="4" t="str">
        <f t="shared" si="1"/>
        <v>Safety Stock</v>
      </c>
      <c r="E70" s="4">
        <f t="shared" si="2"/>
        <v>779.2</v>
      </c>
      <c r="F70" s="4">
        <f t="shared" si="3"/>
        <v>562.7555556</v>
      </c>
      <c r="G70" s="4">
        <f t="shared" si="4"/>
        <v>779</v>
      </c>
      <c r="H70" s="4" t="str">
        <f t="shared" si="5"/>
        <v>Binh thuong</v>
      </c>
    </row>
    <row r="71" ht="14.25" customHeight="1">
      <c r="A71" s="4" t="s">
        <v>86</v>
      </c>
      <c r="B71" s="4">
        <v>5328.0</v>
      </c>
      <c r="C71" s="4" t="s">
        <v>10</v>
      </c>
      <c r="D71" s="4" t="str">
        <f t="shared" si="1"/>
        <v>Safety Stock</v>
      </c>
      <c r="E71" s="4">
        <f t="shared" si="2"/>
        <v>2131.2</v>
      </c>
      <c r="F71" s="4">
        <f t="shared" si="3"/>
        <v>1539.2</v>
      </c>
      <c r="G71" s="4">
        <f t="shared" si="4"/>
        <v>2131</v>
      </c>
      <c r="H71" s="4" t="str">
        <f t="shared" si="5"/>
        <v>Binh thuong</v>
      </c>
    </row>
    <row r="72" ht="14.25" customHeight="1">
      <c r="A72" s="4" t="s">
        <v>87</v>
      </c>
      <c r="B72" s="4">
        <v>4800.0</v>
      </c>
      <c r="C72" s="4" t="s">
        <v>10</v>
      </c>
      <c r="D72" s="4" t="str">
        <f t="shared" si="1"/>
        <v>Safety Stock</v>
      </c>
      <c r="E72" s="4">
        <f t="shared" si="2"/>
        <v>1920</v>
      </c>
      <c r="F72" s="4">
        <f t="shared" si="3"/>
        <v>1386.666667</v>
      </c>
      <c r="G72" s="4">
        <f t="shared" si="4"/>
        <v>1920</v>
      </c>
      <c r="H72" s="4" t="str">
        <f t="shared" si="5"/>
        <v>Binh thuong</v>
      </c>
    </row>
    <row r="73" ht="14.25" customHeight="1">
      <c r="A73" s="4" t="s">
        <v>88</v>
      </c>
      <c r="B73" s="4">
        <v>1004.0</v>
      </c>
      <c r="C73" s="4" t="s">
        <v>10</v>
      </c>
      <c r="D73" s="4" t="str">
        <f t="shared" si="1"/>
        <v>Safety Stock</v>
      </c>
      <c r="E73" s="4">
        <f t="shared" si="2"/>
        <v>401.6</v>
      </c>
      <c r="F73" s="4">
        <f t="shared" si="3"/>
        <v>290.0444444</v>
      </c>
      <c r="G73" s="4">
        <f t="shared" si="4"/>
        <v>402</v>
      </c>
      <c r="H73" s="4" t="str">
        <f t="shared" si="5"/>
        <v>Binh thuong</v>
      </c>
    </row>
    <row r="74" ht="14.25" customHeight="1">
      <c r="A74" s="4" t="s">
        <v>89</v>
      </c>
      <c r="B74" s="4">
        <v>5376.0</v>
      </c>
      <c r="C74" s="4" t="s">
        <v>10</v>
      </c>
      <c r="D74" s="4" t="str">
        <f t="shared" si="1"/>
        <v>Safety Stock</v>
      </c>
      <c r="E74" s="4">
        <f t="shared" si="2"/>
        <v>2150.4</v>
      </c>
      <c r="F74" s="4">
        <f t="shared" si="3"/>
        <v>1553.066667</v>
      </c>
      <c r="G74" s="4">
        <f t="shared" si="4"/>
        <v>2150</v>
      </c>
      <c r="H74" s="4" t="str">
        <f t="shared" si="5"/>
        <v>Binh thuong</v>
      </c>
    </row>
    <row r="75" ht="14.25" customHeight="1">
      <c r="A75" s="4" t="s">
        <v>90</v>
      </c>
      <c r="B75" s="4">
        <v>2304.0</v>
      </c>
      <c r="C75" s="4" t="s">
        <v>10</v>
      </c>
      <c r="D75" s="4" t="str">
        <f t="shared" si="1"/>
        <v>Safety Stock</v>
      </c>
      <c r="E75" s="4">
        <f t="shared" si="2"/>
        <v>921.6</v>
      </c>
      <c r="F75" s="4">
        <f t="shared" si="3"/>
        <v>665.6</v>
      </c>
      <c r="G75" s="4">
        <f t="shared" si="4"/>
        <v>922</v>
      </c>
      <c r="H75" s="4" t="str">
        <f t="shared" si="5"/>
        <v>Binh thuong</v>
      </c>
    </row>
    <row r="76" ht="14.25" customHeight="1">
      <c r="A76" s="4" t="s">
        <v>91</v>
      </c>
      <c r="B76" s="4">
        <v>3456.0</v>
      </c>
      <c r="C76" s="4" t="s">
        <v>10</v>
      </c>
      <c r="D76" s="4" t="str">
        <f t="shared" si="1"/>
        <v>Safety Stock</v>
      </c>
      <c r="E76" s="4">
        <f t="shared" si="2"/>
        <v>1382.4</v>
      </c>
      <c r="F76" s="4">
        <f t="shared" si="3"/>
        <v>998.4</v>
      </c>
      <c r="G76" s="4">
        <f t="shared" si="4"/>
        <v>1382</v>
      </c>
      <c r="H76" s="4" t="str">
        <f t="shared" si="5"/>
        <v>Binh thuong</v>
      </c>
    </row>
    <row r="77" ht="14.25" customHeight="1">
      <c r="A77" s="4" t="s">
        <v>92</v>
      </c>
      <c r="B77" s="4">
        <v>768.0</v>
      </c>
      <c r="C77" s="4" t="s">
        <v>10</v>
      </c>
      <c r="D77" s="4" t="str">
        <f t="shared" si="1"/>
        <v>Safety Stock</v>
      </c>
      <c r="E77" s="4">
        <f t="shared" si="2"/>
        <v>307.2</v>
      </c>
      <c r="F77" s="4">
        <f t="shared" si="3"/>
        <v>221.8666667</v>
      </c>
      <c r="G77" s="4">
        <f t="shared" si="4"/>
        <v>307</v>
      </c>
      <c r="H77" s="4" t="str">
        <f t="shared" si="5"/>
        <v>Binh thuong</v>
      </c>
    </row>
    <row r="78" ht="14.25" customHeight="1">
      <c r="A78" s="4" t="s">
        <v>93</v>
      </c>
      <c r="B78" s="4">
        <v>216.0</v>
      </c>
      <c r="C78" s="4" t="s">
        <v>10</v>
      </c>
      <c r="D78" s="4" t="str">
        <f t="shared" si="1"/>
        <v>Safety Stock</v>
      </c>
      <c r="E78" s="4">
        <f t="shared" si="2"/>
        <v>86.4</v>
      </c>
      <c r="F78" s="4">
        <f t="shared" si="3"/>
        <v>62.4</v>
      </c>
      <c r="G78" s="4">
        <f t="shared" si="4"/>
        <v>86</v>
      </c>
      <c r="H78" s="4" t="str">
        <f t="shared" si="5"/>
        <v>Binh thuong</v>
      </c>
    </row>
    <row r="79" ht="14.25" customHeight="1">
      <c r="A79" s="4" t="s">
        <v>94</v>
      </c>
      <c r="B79" s="4">
        <v>3.0</v>
      </c>
      <c r="C79" s="4" t="s">
        <v>10</v>
      </c>
      <c r="D79" s="4" t="str">
        <f t="shared" si="1"/>
        <v>Safety Stock</v>
      </c>
      <c r="E79" s="4">
        <f t="shared" si="2"/>
        <v>1.2</v>
      </c>
      <c r="F79" s="4">
        <f t="shared" si="3"/>
        <v>0.8666666667</v>
      </c>
      <c r="G79" s="4">
        <f t="shared" si="4"/>
        <v>1</v>
      </c>
      <c r="H79" s="4" t="str">
        <f t="shared" si="5"/>
        <v>Binh thuong</v>
      </c>
    </row>
    <row r="80" ht="14.25" customHeight="1">
      <c r="A80" s="4" t="s">
        <v>95</v>
      </c>
      <c r="B80" s="4">
        <v>3.0</v>
      </c>
      <c r="C80" s="4" t="s">
        <v>10</v>
      </c>
      <c r="D80" s="4" t="str">
        <f t="shared" si="1"/>
        <v>Safety Stock</v>
      </c>
      <c r="E80" s="4">
        <f t="shared" si="2"/>
        <v>1.2</v>
      </c>
      <c r="F80" s="4">
        <f t="shared" si="3"/>
        <v>0.8666666667</v>
      </c>
      <c r="G80" s="4">
        <f t="shared" si="4"/>
        <v>1</v>
      </c>
      <c r="H80" s="4" t="str">
        <f t="shared" si="5"/>
        <v>Binh thuong</v>
      </c>
    </row>
    <row r="81" ht="14.25" customHeight="1">
      <c r="A81" s="4" t="s">
        <v>96</v>
      </c>
      <c r="B81" s="4">
        <v>3.0</v>
      </c>
      <c r="C81" s="4" t="s">
        <v>10</v>
      </c>
      <c r="D81" s="4" t="str">
        <f t="shared" si="1"/>
        <v>Safety Stock</v>
      </c>
      <c r="E81" s="4">
        <f t="shared" si="2"/>
        <v>1.2</v>
      </c>
      <c r="F81" s="4">
        <f t="shared" si="3"/>
        <v>0.8666666667</v>
      </c>
      <c r="G81" s="4">
        <f t="shared" si="4"/>
        <v>1</v>
      </c>
      <c r="H81" s="4" t="str">
        <f t="shared" si="5"/>
        <v>Binh thuong</v>
      </c>
    </row>
    <row r="82" ht="14.25" customHeight="1">
      <c r="A82" s="4" t="s">
        <v>97</v>
      </c>
      <c r="B82" s="4">
        <v>3.0</v>
      </c>
      <c r="C82" s="4" t="s">
        <v>10</v>
      </c>
      <c r="D82" s="4" t="str">
        <f t="shared" si="1"/>
        <v>Safety Stock</v>
      </c>
      <c r="E82" s="4">
        <f t="shared" si="2"/>
        <v>1.2</v>
      </c>
      <c r="F82" s="4">
        <f t="shared" si="3"/>
        <v>0.8666666667</v>
      </c>
      <c r="G82" s="4">
        <f t="shared" si="4"/>
        <v>1</v>
      </c>
      <c r="H82" s="4" t="str">
        <f t="shared" si="5"/>
        <v>Binh thuong</v>
      </c>
    </row>
    <row r="83" ht="14.25" customHeight="1">
      <c r="A83" s="4" t="s">
        <v>98</v>
      </c>
      <c r="B83" s="4">
        <v>1500.0</v>
      </c>
      <c r="C83" s="4" t="s">
        <v>10</v>
      </c>
      <c r="D83" s="4" t="str">
        <f t="shared" si="1"/>
        <v>Safety Stock</v>
      </c>
      <c r="E83" s="4">
        <f t="shared" si="2"/>
        <v>600</v>
      </c>
      <c r="F83" s="4">
        <f t="shared" si="3"/>
        <v>433.3333333</v>
      </c>
      <c r="G83" s="4">
        <f t="shared" si="4"/>
        <v>600</v>
      </c>
      <c r="H83" s="4" t="str">
        <f t="shared" si="5"/>
        <v>Binh thuong</v>
      </c>
    </row>
    <row r="84" ht="14.25" customHeight="1">
      <c r="A84" s="4" t="s">
        <v>99</v>
      </c>
      <c r="B84" s="4">
        <v>125.0</v>
      </c>
      <c r="C84" s="4" t="s">
        <v>10</v>
      </c>
      <c r="D84" s="4" t="str">
        <f t="shared" si="1"/>
        <v>Safety Stock</v>
      </c>
      <c r="E84" s="4">
        <f t="shared" si="2"/>
        <v>50</v>
      </c>
      <c r="F84" s="4">
        <f t="shared" si="3"/>
        <v>36.11111111</v>
      </c>
      <c r="G84" s="4">
        <f t="shared" si="4"/>
        <v>50</v>
      </c>
      <c r="H84" s="4" t="str">
        <f t="shared" si="5"/>
        <v>Binh thuong</v>
      </c>
    </row>
    <row r="85" ht="14.25" customHeight="1">
      <c r="A85" s="4" t="s">
        <v>100</v>
      </c>
      <c r="B85" s="4">
        <v>60.0</v>
      </c>
      <c r="C85" s="4" t="s">
        <v>10</v>
      </c>
      <c r="D85" s="4" t="str">
        <f t="shared" si="1"/>
        <v>Safety Stock</v>
      </c>
      <c r="E85" s="4">
        <f t="shared" si="2"/>
        <v>24</v>
      </c>
      <c r="F85" s="4">
        <f t="shared" si="3"/>
        <v>17.33333333</v>
      </c>
      <c r="G85" s="4">
        <f t="shared" si="4"/>
        <v>24</v>
      </c>
      <c r="H85" s="4" t="str">
        <f t="shared" si="5"/>
        <v>Binh thuong</v>
      </c>
    </row>
    <row r="86" ht="14.25" customHeight="1">
      <c r="A86" s="4" t="s">
        <v>101</v>
      </c>
      <c r="B86" s="4">
        <v>140.0</v>
      </c>
      <c r="C86" s="4" t="s">
        <v>10</v>
      </c>
      <c r="D86" s="4" t="str">
        <f t="shared" si="1"/>
        <v>Safety Stock</v>
      </c>
      <c r="E86" s="4">
        <f t="shared" si="2"/>
        <v>56</v>
      </c>
      <c r="F86" s="4">
        <f t="shared" si="3"/>
        <v>40.44444444</v>
      </c>
      <c r="G86" s="4">
        <f t="shared" si="4"/>
        <v>56</v>
      </c>
      <c r="H86" s="4" t="str">
        <f t="shared" si="5"/>
        <v>Binh thuong</v>
      </c>
    </row>
    <row r="87" ht="14.25" customHeight="1">
      <c r="A87" s="4" t="s">
        <v>102</v>
      </c>
      <c r="B87" s="4">
        <v>60.0</v>
      </c>
      <c r="C87" s="4" t="s">
        <v>10</v>
      </c>
      <c r="D87" s="4" t="str">
        <f t="shared" si="1"/>
        <v>Safety Stock</v>
      </c>
      <c r="E87" s="4">
        <f t="shared" si="2"/>
        <v>24</v>
      </c>
      <c r="F87" s="4">
        <f t="shared" si="3"/>
        <v>17.33333333</v>
      </c>
      <c r="G87" s="4">
        <f t="shared" si="4"/>
        <v>24</v>
      </c>
      <c r="H87" s="4" t="str">
        <f t="shared" si="5"/>
        <v>Binh thuong</v>
      </c>
    </row>
    <row r="88" ht="14.25" customHeight="1">
      <c r="A88" s="4" t="s">
        <v>103</v>
      </c>
      <c r="B88" s="4">
        <v>18.0</v>
      </c>
      <c r="C88" s="4" t="s">
        <v>10</v>
      </c>
      <c r="D88" s="4" t="str">
        <f t="shared" si="1"/>
        <v>Safety Stock</v>
      </c>
      <c r="E88" s="4">
        <f t="shared" si="2"/>
        <v>7.2</v>
      </c>
      <c r="F88" s="4">
        <f t="shared" si="3"/>
        <v>5.2</v>
      </c>
      <c r="G88" s="4">
        <f t="shared" si="4"/>
        <v>7</v>
      </c>
      <c r="H88" s="4" t="str">
        <f t="shared" si="5"/>
        <v>Binh thuong</v>
      </c>
    </row>
    <row r="89" ht="14.25" customHeight="1">
      <c r="A89" s="4" t="s">
        <v>104</v>
      </c>
      <c r="B89" s="4">
        <v>1000.0</v>
      </c>
      <c r="C89" s="4" t="s">
        <v>10</v>
      </c>
      <c r="D89" s="4" t="str">
        <f t="shared" si="1"/>
        <v>Safety Stock</v>
      </c>
      <c r="E89" s="4">
        <f t="shared" si="2"/>
        <v>400</v>
      </c>
      <c r="F89" s="4">
        <f t="shared" si="3"/>
        <v>288.8888889</v>
      </c>
      <c r="G89" s="4">
        <f t="shared" si="4"/>
        <v>400</v>
      </c>
      <c r="H89" s="4" t="str">
        <f t="shared" si="5"/>
        <v>Binh thuong</v>
      </c>
    </row>
    <row r="90" ht="14.25" customHeight="1">
      <c r="A90" s="4" t="s">
        <v>105</v>
      </c>
      <c r="B90" s="4">
        <v>121.0</v>
      </c>
      <c r="C90" s="4" t="s">
        <v>10</v>
      </c>
      <c r="D90" s="4" t="str">
        <f t="shared" si="1"/>
        <v>Safety Stock</v>
      </c>
      <c r="E90" s="4">
        <f t="shared" si="2"/>
        <v>48.4</v>
      </c>
      <c r="F90" s="4">
        <f t="shared" si="3"/>
        <v>34.95555556</v>
      </c>
      <c r="G90" s="4">
        <f t="shared" si="4"/>
        <v>48</v>
      </c>
      <c r="H90" s="4" t="str">
        <f t="shared" si="5"/>
        <v>Binh thuong</v>
      </c>
    </row>
    <row r="91" ht="14.25" customHeight="1">
      <c r="A91" s="4" t="s">
        <v>106</v>
      </c>
      <c r="B91" s="4">
        <v>19.0</v>
      </c>
      <c r="C91" s="4" t="s">
        <v>10</v>
      </c>
      <c r="D91" s="4" t="str">
        <f t="shared" si="1"/>
        <v>Safety Stock</v>
      </c>
      <c r="E91" s="4">
        <f t="shared" si="2"/>
        <v>7.6</v>
      </c>
      <c r="F91" s="4">
        <f t="shared" si="3"/>
        <v>5.488888889</v>
      </c>
      <c r="G91" s="4">
        <f t="shared" si="4"/>
        <v>8</v>
      </c>
      <c r="H91" s="4" t="str">
        <f t="shared" si="5"/>
        <v>Binh thuong</v>
      </c>
    </row>
    <row r="92" ht="14.25" customHeight="1">
      <c r="A92" s="4" t="s">
        <v>107</v>
      </c>
      <c r="B92" s="4">
        <v>101.0</v>
      </c>
      <c r="C92" s="4" t="s">
        <v>10</v>
      </c>
      <c r="D92" s="4" t="str">
        <f t="shared" si="1"/>
        <v>Safety Stock</v>
      </c>
      <c r="E92" s="4">
        <f t="shared" si="2"/>
        <v>40.4</v>
      </c>
      <c r="F92" s="4">
        <f t="shared" si="3"/>
        <v>29.17777778</v>
      </c>
      <c r="G92" s="4">
        <f t="shared" si="4"/>
        <v>40</v>
      </c>
      <c r="H92" s="4" t="str">
        <f t="shared" si="5"/>
        <v>Binh thuong</v>
      </c>
    </row>
    <row r="93" ht="14.25" customHeight="1">
      <c r="A93" s="4" t="s">
        <v>108</v>
      </c>
      <c r="B93" s="4">
        <v>848.0</v>
      </c>
      <c r="C93" s="4" t="s">
        <v>10</v>
      </c>
      <c r="D93" s="4" t="str">
        <f t="shared" si="1"/>
        <v>Safety Stock</v>
      </c>
      <c r="E93" s="4">
        <f t="shared" si="2"/>
        <v>339.2</v>
      </c>
      <c r="F93" s="4">
        <f t="shared" si="3"/>
        <v>244.9777778</v>
      </c>
      <c r="G93" s="4">
        <f t="shared" si="4"/>
        <v>339</v>
      </c>
      <c r="H93" s="4" t="str">
        <f t="shared" si="5"/>
        <v>Binh thuong</v>
      </c>
    </row>
    <row r="94" ht="14.25" customHeight="1">
      <c r="A94" s="4" t="s">
        <v>109</v>
      </c>
      <c r="B94" s="4">
        <v>768.0</v>
      </c>
      <c r="C94" s="4" t="s">
        <v>10</v>
      </c>
      <c r="D94" s="4" t="str">
        <f t="shared" si="1"/>
        <v>Safety Stock</v>
      </c>
      <c r="E94" s="4">
        <f t="shared" si="2"/>
        <v>307.2</v>
      </c>
      <c r="F94" s="4">
        <f t="shared" si="3"/>
        <v>221.8666667</v>
      </c>
      <c r="G94" s="4">
        <f t="shared" si="4"/>
        <v>307</v>
      </c>
      <c r="H94" s="4" t="str">
        <f t="shared" si="5"/>
        <v>Binh thuong</v>
      </c>
    </row>
    <row r="95" ht="14.25" customHeight="1">
      <c r="A95" s="4" t="s">
        <v>110</v>
      </c>
      <c r="B95" s="4">
        <v>8.0</v>
      </c>
      <c r="C95" s="4" t="s">
        <v>10</v>
      </c>
      <c r="D95" s="4" t="str">
        <f t="shared" si="1"/>
        <v>Safety Stock</v>
      </c>
      <c r="E95" s="4">
        <f t="shared" si="2"/>
        <v>3.2</v>
      </c>
      <c r="F95" s="4">
        <f t="shared" si="3"/>
        <v>2.311111111</v>
      </c>
      <c r="G95" s="4">
        <f t="shared" si="4"/>
        <v>3</v>
      </c>
      <c r="H95" s="4" t="str">
        <f t="shared" si="5"/>
        <v>Binh thuong</v>
      </c>
    </row>
    <row r="96" ht="14.25" customHeight="1">
      <c r="A96" s="4" t="s">
        <v>111</v>
      </c>
      <c r="B96" s="4">
        <v>160.0</v>
      </c>
      <c r="C96" s="4" t="s">
        <v>10</v>
      </c>
      <c r="D96" s="4" t="str">
        <f t="shared" si="1"/>
        <v>Safety Stock</v>
      </c>
      <c r="E96" s="4">
        <f t="shared" si="2"/>
        <v>64</v>
      </c>
      <c r="F96" s="4">
        <f t="shared" si="3"/>
        <v>46.22222222</v>
      </c>
      <c r="G96" s="4">
        <f t="shared" si="4"/>
        <v>64</v>
      </c>
      <c r="H96" s="4" t="str">
        <f t="shared" si="5"/>
        <v>Binh thuong</v>
      </c>
    </row>
    <row r="97" ht="14.25" customHeight="1">
      <c r="A97" s="4" t="s">
        <v>112</v>
      </c>
      <c r="B97" s="4">
        <v>308.0</v>
      </c>
      <c r="C97" s="4" t="s">
        <v>10</v>
      </c>
      <c r="D97" s="4" t="str">
        <f t="shared" si="1"/>
        <v>Safety Stock</v>
      </c>
      <c r="E97" s="4">
        <f t="shared" si="2"/>
        <v>123.2</v>
      </c>
      <c r="F97" s="4">
        <f t="shared" si="3"/>
        <v>88.97777778</v>
      </c>
      <c r="G97" s="4">
        <f t="shared" si="4"/>
        <v>123</v>
      </c>
      <c r="H97" s="4" t="str">
        <f t="shared" si="5"/>
        <v>Binh thuong</v>
      </c>
    </row>
    <row r="98" ht="14.25" customHeight="1">
      <c r="A98" s="4" t="s">
        <v>113</v>
      </c>
      <c r="B98" s="4">
        <v>291.0</v>
      </c>
      <c r="C98" s="4" t="s">
        <v>10</v>
      </c>
      <c r="D98" s="4" t="str">
        <f t="shared" si="1"/>
        <v>Safety Stock</v>
      </c>
      <c r="E98" s="4">
        <f t="shared" si="2"/>
        <v>116.4</v>
      </c>
      <c r="F98" s="4">
        <f t="shared" si="3"/>
        <v>84.06666667</v>
      </c>
      <c r="G98" s="4">
        <f t="shared" si="4"/>
        <v>116</v>
      </c>
      <c r="H98" s="4" t="str">
        <f t="shared" si="5"/>
        <v>Binh thuong</v>
      </c>
    </row>
    <row r="99" ht="14.25" customHeight="1">
      <c r="A99" s="4" t="s">
        <v>114</v>
      </c>
      <c r="B99" s="4">
        <v>153.0</v>
      </c>
      <c r="C99" s="4" t="s">
        <v>10</v>
      </c>
      <c r="D99" s="4" t="str">
        <f t="shared" si="1"/>
        <v>Safety Stock</v>
      </c>
      <c r="E99" s="4">
        <f t="shared" si="2"/>
        <v>61.2</v>
      </c>
      <c r="F99" s="4">
        <f t="shared" si="3"/>
        <v>44.2</v>
      </c>
      <c r="G99" s="4">
        <f t="shared" si="4"/>
        <v>61</v>
      </c>
      <c r="H99" s="4" t="str">
        <f t="shared" si="5"/>
        <v>Binh thuong</v>
      </c>
    </row>
    <row r="100" ht="14.25" customHeight="1">
      <c r="A100" s="4" t="s">
        <v>115</v>
      </c>
      <c r="B100" s="4">
        <v>1408.0</v>
      </c>
      <c r="C100" s="4" t="s">
        <v>10</v>
      </c>
      <c r="D100" s="4" t="str">
        <f t="shared" si="1"/>
        <v>Safety Stock</v>
      </c>
      <c r="E100" s="4">
        <f t="shared" si="2"/>
        <v>563.2</v>
      </c>
      <c r="F100" s="4">
        <f t="shared" si="3"/>
        <v>406.7555556</v>
      </c>
      <c r="G100" s="4">
        <f t="shared" si="4"/>
        <v>563</v>
      </c>
      <c r="H100" s="4" t="str">
        <f t="shared" si="5"/>
        <v>Binh thuong</v>
      </c>
    </row>
    <row r="101" ht="14.25" customHeight="1">
      <c r="A101" s="4" t="s">
        <v>116</v>
      </c>
      <c r="B101" s="4">
        <v>352.0</v>
      </c>
      <c r="C101" s="4" t="s">
        <v>10</v>
      </c>
      <c r="D101" s="4" t="str">
        <f t="shared" si="1"/>
        <v>Safety Stock</v>
      </c>
      <c r="E101" s="4">
        <f t="shared" si="2"/>
        <v>140.8</v>
      </c>
      <c r="F101" s="4">
        <f t="shared" si="3"/>
        <v>101.6888889</v>
      </c>
      <c r="G101" s="4">
        <f t="shared" si="4"/>
        <v>141</v>
      </c>
      <c r="H101" s="4" t="str">
        <f t="shared" si="5"/>
        <v>Binh thuong</v>
      </c>
    </row>
    <row r="102" ht="14.25" customHeight="1">
      <c r="A102" s="4" t="s">
        <v>117</v>
      </c>
      <c r="B102" s="4">
        <v>1536.0</v>
      </c>
      <c r="C102" s="4" t="s">
        <v>10</v>
      </c>
      <c r="D102" s="4" t="str">
        <f t="shared" si="1"/>
        <v>Safety Stock</v>
      </c>
      <c r="E102" s="4">
        <f t="shared" si="2"/>
        <v>614.4</v>
      </c>
      <c r="F102" s="4">
        <f t="shared" si="3"/>
        <v>443.7333333</v>
      </c>
      <c r="G102" s="4">
        <f t="shared" si="4"/>
        <v>614</v>
      </c>
      <c r="H102" s="4" t="str">
        <f t="shared" si="5"/>
        <v>Binh thuong</v>
      </c>
    </row>
    <row r="103" ht="14.25" customHeight="1">
      <c r="A103" s="4" t="s">
        <v>118</v>
      </c>
      <c r="B103" s="4">
        <v>496.0</v>
      </c>
      <c r="C103" s="4" t="s">
        <v>10</v>
      </c>
      <c r="D103" s="4" t="str">
        <f t="shared" si="1"/>
        <v>Safety Stock</v>
      </c>
      <c r="E103" s="4">
        <f t="shared" si="2"/>
        <v>198.4</v>
      </c>
      <c r="F103" s="4">
        <f t="shared" si="3"/>
        <v>143.2888889</v>
      </c>
      <c r="G103" s="4">
        <f t="shared" si="4"/>
        <v>198</v>
      </c>
      <c r="H103" s="4" t="str">
        <f t="shared" si="5"/>
        <v>Binh thuong</v>
      </c>
    </row>
    <row r="104" ht="14.25" customHeight="1">
      <c r="A104" s="4" t="s">
        <v>119</v>
      </c>
      <c r="B104" s="4">
        <v>107.0</v>
      </c>
      <c r="C104" s="4" t="s">
        <v>10</v>
      </c>
      <c r="D104" s="4" t="str">
        <f t="shared" si="1"/>
        <v>Safety Stock</v>
      </c>
      <c r="E104" s="4">
        <f t="shared" si="2"/>
        <v>42.8</v>
      </c>
      <c r="F104" s="4">
        <f t="shared" si="3"/>
        <v>30.91111111</v>
      </c>
      <c r="G104" s="4">
        <f t="shared" si="4"/>
        <v>43</v>
      </c>
      <c r="H104" s="4" t="str">
        <f t="shared" si="5"/>
        <v>Binh thuong</v>
      </c>
    </row>
    <row r="105" ht="14.25" customHeight="1">
      <c r="A105" s="4" t="s">
        <v>120</v>
      </c>
      <c r="B105" s="4">
        <v>4224.0</v>
      </c>
      <c r="C105" s="4" t="s">
        <v>10</v>
      </c>
      <c r="D105" s="4" t="str">
        <f t="shared" si="1"/>
        <v>Safety Stock</v>
      </c>
      <c r="E105" s="4">
        <f t="shared" si="2"/>
        <v>1689.6</v>
      </c>
      <c r="F105" s="4">
        <f t="shared" si="3"/>
        <v>1220.266667</v>
      </c>
      <c r="G105" s="4">
        <f t="shared" si="4"/>
        <v>1690</v>
      </c>
      <c r="H105" s="4" t="str">
        <f t="shared" si="5"/>
        <v>Binh thuong</v>
      </c>
    </row>
    <row r="106" ht="14.25" customHeight="1">
      <c r="A106" s="4" t="s">
        <v>121</v>
      </c>
      <c r="B106" s="4">
        <v>6144.0</v>
      </c>
      <c r="C106" s="4" t="s">
        <v>10</v>
      </c>
      <c r="D106" s="4" t="str">
        <f t="shared" si="1"/>
        <v>Safety Stock</v>
      </c>
      <c r="E106" s="4">
        <f t="shared" si="2"/>
        <v>2457.6</v>
      </c>
      <c r="F106" s="4">
        <f t="shared" si="3"/>
        <v>1774.933333</v>
      </c>
      <c r="G106" s="4">
        <f t="shared" si="4"/>
        <v>2458</v>
      </c>
      <c r="H106" s="4" t="str">
        <f t="shared" si="5"/>
        <v>Binh thuong</v>
      </c>
    </row>
    <row r="107" ht="14.25" customHeight="1">
      <c r="A107" s="4" t="s">
        <v>122</v>
      </c>
      <c r="B107" s="4">
        <v>471.0</v>
      </c>
      <c r="C107" s="4" t="s">
        <v>10</v>
      </c>
      <c r="D107" s="4" t="str">
        <f t="shared" si="1"/>
        <v>Safety Stock</v>
      </c>
      <c r="E107" s="4">
        <f t="shared" si="2"/>
        <v>188.4</v>
      </c>
      <c r="F107" s="4">
        <f t="shared" si="3"/>
        <v>136.0666667</v>
      </c>
      <c r="G107" s="4">
        <f t="shared" si="4"/>
        <v>188</v>
      </c>
      <c r="H107" s="4" t="str">
        <f t="shared" si="5"/>
        <v>Binh thuong</v>
      </c>
    </row>
    <row r="108" ht="14.25" customHeight="1">
      <c r="A108" s="4" t="s">
        <v>123</v>
      </c>
      <c r="B108" s="4">
        <v>984.0</v>
      </c>
      <c r="C108" s="4" t="s">
        <v>10</v>
      </c>
      <c r="D108" s="4" t="str">
        <f t="shared" si="1"/>
        <v>Safety Stock</v>
      </c>
      <c r="E108" s="4">
        <f t="shared" si="2"/>
        <v>393.6</v>
      </c>
      <c r="F108" s="4">
        <f t="shared" si="3"/>
        <v>284.2666667</v>
      </c>
      <c r="G108" s="4">
        <f t="shared" si="4"/>
        <v>394</v>
      </c>
      <c r="H108" s="4" t="str">
        <f t="shared" si="5"/>
        <v>Binh thuong</v>
      </c>
    </row>
    <row r="109" ht="14.25" customHeight="1">
      <c r="A109" s="4" t="s">
        <v>124</v>
      </c>
      <c r="B109" s="4">
        <v>786.0</v>
      </c>
      <c r="C109" s="4" t="s">
        <v>10</v>
      </c>
      <c r="D109" s="4" t="str">
        <f t="shared" si="1"/>
        <v>Safety Stock</v>
      </c>
      <c r="E109" s="4">
        <f t="shared" si="2"/>
        <v>314.4</v>
      </c>
      <c r="F109" s="4">
        <f t="shared" si="3"/>
        <v>227.0666667</v>
      </c>
      <c r="G109" s="4">
        <f t="shared" si="4"/>
        <v>314</v>
      </c>
      <c r="H109" s="4" t="str">
        <f t="shared" si="5"/>
        <v>Binh thuong</v>
      </c>
    </row>
    <row r="110" ht="14.25" customHeight="1">
      <c r="A110" s="4" t="s">
        <v>125</v>
      </c>
      <c r="B110" s="4">
        <v>320.0</v>
      </c>
      <c r="C110" s="4" t="s">
        <v>10</v>
      </c>
      <c r="D110" s="4" t="str">
        <f t="shared" si="1"/>
        <v>Safety Stock</v>
      </c>
      <c r="E110" s="4">
        <f t="shared" si="2"/>
        <v>128</v>
      </c>
      <c r="F110" s="4">
        <f t="shared" si="3"/>
        <v>92.44444444</v>
      </c>
      <c r="G110" s="4">
        <f t="shared" si="4"/>
        <v>128</v>
      </c>
      <c r="H110" s="4" t="str">
        <f t="shared" si="5"/>
        <v>Binh thuong</v>
      </c>
    </row>
    <row r="111" ht="14.25" customHeight="1">
      <c r="A111" s="4" t="s">
        <v>126</v>
      </c>
      <c r="B111" s="4">
        <v>1115.0</v>
      </c>
      <c r="C111" s="4" t="s">
        <v>10</v>
      </c>
      <c r="D111" s="4" t="str">
        <f t="shared" si="1"/>
        <v>Safety Stock</v>
      </c>
      <c r="E111" s="4">
        <f t="shared" si="2"/>
        <v>446</v>
      </c>
      <c r="F111" s="4">
        <f t="shared" si="3"/>
        <v>322.1111111</v>
      </c>
      <c r="G111" s="4">
        <f t="shared" si="4"/>
        <v>446</v>
      </c>
      <c r="H111" s="4" t="str">
        <f t="shared" si="5"/>
        <v>Binh thuong</v>
      </c>
    </row>
    <row r="112" ht="14.25" customHeight="1">
      <c r="A112" s="4" t="s">
        <v>127</v>
      </c>
      <c r="B112" s="4">
        <v>1744.0</v>
      </c>
      <c r="C112" s="4" t="s">
        <v>10</v>
      </c>
      <c r="D112" s="4" t="str">
        <f t="shared" si="1"/>
        <v>Safety Stock</v>
      </c>
      <c r="E112" s="4">
        <f t="shared" si="2"/>
        <v>697.6</v>
      </c>
      <c r="F112" s="4">
        <f t="shared" si="3"/>
        <v>503.8222222</v>
      </c>
      <c r="G112" s="4">
        <f t="shared" si="4"/>
        <v>698</v>
      </c>
      <c r="H112" s="4" t="str">
        <f t="shared" si="5"/>
        <v>Binh thuong</v>
      </c>
    </row>
    <row r="113" ht="14.25" customHeight="1">
      <c r="A113" s="4" t="s">
        <v>128</v>
      </c>
      <c r="B113" s="4">
        <v>80.0</v>
      </c>
      <c r="C113" s="4" t="s">
        <v>10</v>
      </c>
      <c r="D113" s="4" t="str">
        <f t="shared" si="1"/>
        <v>Safety Stock</v>
      </c>
      <c r="E113" s="4">
        <f t="shared" si="2"/>
        <v>32</v>
      </c>
      <c r="F113" s="4">
        <f t="shared" si="3"/>
        <v>23.11111111</v>
      </c>
      <c r="G113" s="4">
        <f t="shared" si="4"/>
        <v>32</v>
      </c>
      <c r="H113" s="4" t="str">
        <f t="shared" si="5"/>
        <v>Binh thuong</v>
      </c>
    </row>
    <row r="114" ht="14.25" customHeight="1">
      <c r="A114" s="4" t="s">
        <v>129</v>
      </c>
      <c r="B114" s="4">
        <v>4760.0</v>
      </c>
      <c r="C114" s="4" t="s">
        <v>10</v>
      </c>
      <c r="D114" s="4" t="str">
        <f t="shared" si="1"/>
        <v>Safety Stock</v>
      </c>
      <c r="E114" s="4">
        <f t="shared" si="2"/>
        <v>1904</v>
      </c>
      <c r="F114" s="4">
        <f t="shared" si="3"/>
        <v>1375.111111</v>
      </c>
      <c r="G114" s="4">
        <f t="shared" si="4"/>
        <v>1904</v>
      </c>
      <c r="H114" s="4" t="str">
        <f t="shared" si="5"/>
        <v>Binh thuong</v>
      </c>
    </row>
    <row r="115" ht="14.25" customHeight="1">
      <c r="A115" s="4" t="s">
        <v>130</v>
      </c>
      <c r="B115" s="4">
        <v>512.0</v>
      </c>
      <c r="C115" s="4" t="s">
        <v>10</v>
      </c>
      <c r="D115" s="4" t="str">
        <f t="shared" si="1"/>
        <v>Safety Stock</v>
      </c>
      <c r="E115" s="4">
        <f t="shared" si="2"/>
        <v>204.8</v>
      </c>
      <c r="F115" s="4">
        <f t="shared" si="3"/>
        <v>147.9111111</v>
      </c>
      <c r="G115" s="4">
        <f t="shared" si="4"/>
        <v>205</v>
      </c>
      <c r="H115" s="4" t="str">
        <f t="shared" si="5"/>
        <v>Binh thuong</v>
      </c>
    </row>
    <row r="116" ht="14.25" customHeight="1">
      <c r="A116" s="4" t="s">
        <v>131</v>
      </c>
      <c r="B116" s="4">
        <v>3992.0</v>
      </c>
      <c r="C116" s="4" t="s">
        <v>10</v>
      </c>
      <c r="D116" s="4" t="str">
        <f t="shared" si="1"/>
        <v>Safety Stock</v>
      </c>
      <c r="E116" s="4">
        <f t="shared" si="2"/>
        <v>1596.8</v>
      </c>
      <c r="F116" s="4">
        <f t="shared" si="3"/>
        <v>1153.244444</v>
      </c>
      <c r="G116" s="4">
        <f t="shared" si="4"/>
        <v>1597</v>
      </c>
      <c r="H116" s="4" t="str">
        <f t="shared" si="5"/>
        <v>Binh thuong</v>
      </c>
    </row>
    <row r="117" ht="14.25" customHeight="1">
      <c r="A117" s="4" t="s">
        <v>132</v>
      </c>
      <c r="B117" s="4">
        <v>976.0</v>
      </c>
      <c r="C117" s="4" t="s">
        <v>10</v>
      </c>
      <c r="D117" s="4" t="str">
        <f t="shared" si="1"/>
        <v>Safety Stock</v>
      </c>
      <c r="E117" s="4">
        <f t="shared" si="2"/>
        <v>390.4</v>
      </c>
      <c r="F117" s="4">
        <f t="shared" si="3"/>
        <v>281.9555556</v>
      </c>
      <c r="G117" s="4">
        <f t="shared" si="4"/>
        <v>390</v>
      </c>
      <c r="H117" s="4" t="str">
        <f t="shared" si="5"/>
        <v>Binh thuong</v>
      </c>
    </row>
    <row r="118" ht="14.25" customHeight="1">
      <c r="A118" s="4" t="s">
        <v>133</v>
      </c>
      <c r="B118" s="4">
        <v>1752.0</v>
      </c>
      <c r="C118" s="4" t="s">
        <v>10</v>
      </c>
      <c r="D118" s="4" t="str">
        <f t="shared" si="1"/>
        <v>Safety Stock</v>
      </c>
      <c r="E118" s="4">
        <f t="shared" si="2"/>
        <v>700.8</v>
      </c>
      <c r="F118" s="4">
        <f t="shared" si="3"/>
        <v>506.1333333</v>
      </c>
      <c r="G118" s="4">
        <f t="shared" si="4"/>
        <v>701</v>
      </c>
      <c r="H118" s="4" t="str">
        <f t="shared" si="5"/>
        <v>Binh thuong</v>
      </c>
    </row>
    <row r="119" ht="14.25" customHeight="1">
      <c r="A119" s="4" t="s">
        <v>134</v>
      </c>
      <c r="B119" s="4">
        <v>11928.0</v>
      </c>
      <c r="C119" s="4" t="s">
        <v>10</v>
      </c>
      <c r="D119" s="4" t="str">
        <f t="shared" si="1"/>
        <v>Safety Stock</v>
      </c>
      <c r="E119" s="4">
        <f t="shared" si="2"/>
        <v>4771.2</v>
      </c>
      <c r="F119" s="4">
        <f t="shared" si="3"/>
        <v>3445.866667</v>
      </c>
      <c r="G119" s="4">
        <f t="shared" si="4"/>
        <v>4771</v>
      </c>
      <c r="H119" s="4" t="str">
        <f t="shared" si="5"/>
        <v>Binh thuong</v>
      </c>
    </row>
    <row r="120" ht="14.25" customHeight="1">
      <c r="A120" s="4" t="s">
        <v>135</v>
      </c>
      <c r="B120" s="4">
        <v>8152.0</v>
      </c>
      <c r="C120" s="4" t="s">
        <v>10</v>
      </c>
      <c r="D120" s="4" t="str">
        <f t="shared" si="1"/>
        <v>Safety Stock</v>
      </c>
      <c r="E120" s="4">
        <f t="shared" si="2"/>
        <v>3260.8</v>
      </c>
      <c r="F120" s="4">
        <f t="shared" si="3"/>
        <v>2355.022222</v>
      </c>
      <c r="G120" s="4">
        <f t="shared" si="4"/>
        <v>3261</v>
      </c>
      <c r="H120" s="4" t="str">
        <f t="shared" si="5"/>
        <v>Binh thuong</v>
      </c>
    </row>
    <row r="121" ht="14.25" customHeight="1">
      <c r="A121" s="4" t="s">
        <v>136</v>
      </c>
      <c r="B121" s="4">
        <v>4744.0</v>
      </c>
      <c r="C121" s="4" t="s">
        <v>10</v>
      </c>
      <c r="D121" s="4" t="str">
        <f t="shared" si="1"/>
        <v>Safety Stock</v>
      </c>
      <c r="E121" s="4">
        <f t="shared" si="2"/>
        <v>1897.6</v>
      </c>
      <c r="F121" s="4">
        <f t="shared" si="3"/>
        <v>1370.488889</v>
      </c>
      <c r="G121" s="4">
        <f t="shared" si="4"/>
        <v>1898</v>
      </c>
      <c r="H121" s="4" t="str">
        <f t="shared" si="5"/>
        <v>Binh thuong</v>
      </c>
    </row>
    <row r="122" ht="14.25" customHeight="1">
      <c r="A122" s="4" t="s">
        <v>137</v>
      </c>
      <c r="B122" s="4">
        <v>512.0</v>
      </c>
      <c r="C122" s="4" t="s">
        <v>10</v>
      </c>
      <c r="D122" s="4" t="str">
        <f t="shared" si="1"/>
        <v>Safety Stock</v>
      </c>
      <c r="E122" s="4">
        <f t="shared" si="2"/>
        <v>204.8</v>
      </c>
      <c r="F122" s="4">
        <f t="shared" si="3"/>
        <v>147.9111111</v>
      </c>
      <c r="G122" s="4">
        <f t="shared" si="4"/>
        <v>205</v>
      </c>
      <c r="H122" s="4" t="str">
        <f t="shared" si="5"/>
        <v>Binh thuong</v>
      </c>
    </row>
    <row r="123" ht="14.25" customHeight="1">
      <c r="A123" s="4" t="s">
        <v>138</v>
      </c>
      <c r="B123" s="4">
        <v>2880.0</v>
      </c>
      <c r="C123" s="4" t="s">
        <v>10</v>
      </c>
      <c r="D123" s="4" t="str">
        <f t="shared" si="1"/>
        <v>Safety Stock</v>
      </c>
      <c r="E123" s="4">
        <f t="shared" si="2"/>
        <v>1152</v>
      </c>
      <c r="F123" s="4">
        <f t="shared" si="3"/>
        <v>832</v>
      </c>
      <c r="G123" s="4">
        <f t="shared" si="4"/>
        <v>1152</v>
      </c>
      <c r="H123" s="4" t="str">
        <f t="shared" si="5"/>
        <v>Binh thuong</v>
      </c>
    </row>
    <row r="124" ht="14.25" customHeight="1">
      <c r="A124" s="4" t="s">
        <v>139</v>
      </c>
      <c r="B124" s="4">
        <v>2720.0</v>
      </c>
      <c r="C124" s="4" t="s">
        <v>10</v>
      </c>
      <c r="D124" s="4" t="str">
        <f t="shared" si="1"/>
        <v>Safety Stock</v>
      </c>
      <c r="E124" s="4">
        <f t="shared" si="2"/>
        <v>1088</v>
      </c>
      <c r="F124" s="4">
        <f t="shared" si="3"/>
        <v>785.7777778</v>
      </c>
      <c r="G124" s="4">
        <f t="shared" si="4"/>
        <v>1088</v>
      </c>
      <c r="H124" s="4" t="str">
        <f t="shared" si="5"/>
        <v>Binh thuong</v>
      </c>
    </row>
    <row r="125" ht="14.25" customHeight="1">
      <c r="A125" s="4" t="s">
        <v>140</v>
      </c>
      <c r="B125" s="4">
        <v>944.0</v>
      </c>
      <c r="C125" s="4" t="s">
        <v>10</v>
      </c>
      <c r="D125" s="4" t="str">
        <f t="shared" si="1"/>
        <v>Safety Stock</v>
      </c>
      <c r="E125" s="4">
        <f t="shared" si="2"/>
        <v>377.6</v>
      </c>
      <c r="F125" s="4">
        <f t="shared" si="3"/>
        <v>272.7111111</v>
      </c>
      <c r="G125" s="4">
        <f t="shared" si="4"/>
        <v>378</v>
      </c>
      <c r="H125" s="4" t="str">
        <f t="shared" si="5"/>
        <v>Binh thuong</v>
      </c>
    </row>
    <row r="126" ht="14.25" customHeight="1">
      <c r="A126" s="4" t="s">
        <v>141</v>
      </c>
      <c r="B126" s="4">
        <v>4816.0</v>
      </c>
      <c r="C126" s="4" t="s">
        <v>10</v>
      </c>
      <c r="D126" s="4" t="str">
        <f t="shared" si="1"/>
        <v>Safety Stock</v>
      </c>
      <c r="E126" s="4">
        <f t="shared" si="2"/>
        <v>1926.4</v>
      </c>
      <c r="F126" s="4">
        <f t="shared" si="3"/>
        <v>1391.288889</v>
      </c>
      <c r="G126" s="4">
        <f t="shared" si="4"/>
        <v>1926</v>
      </c>
      <c r="H126" s="4" t="str">
        <f t="shared" si="5"/>
        <v>Binh thuong</v>
      </c>
    </row>
    <row r="127" ht="14.25" customHeight="1">
      <c r="A127" s="4" t="s">
        <v>142</v>
      </c>
      <c r="B127" s="4">
        <v>1152.0</v>
      </c>
      <c r="C127" s="4" t="s">
        <v>10</v>
      </c>
      <c r="D127" s="4" t="str">
        <f t="shared" si="1"/>
        <v>Safety Stock</v>
      </c>
      <c r="E127" s="4">
        <f t="shared" si="2"/>
        <v>460.8</v>
      </c>
      <c r="F127" s="4">
        <f t="shared" si="3"/>
        <v>332.8</v>
      </c>
      <c r="G127" s="4">
        <f t="shared" si="4"/>
        <v>461</v>
      </c>
      <c r="H127" s="4" t="str">
        <f t="shared" si="5"/>
        <v>Binh thuong</v>
      </c>
    </row>
    <row r="128" ht="14.25" customHeight="1">
      <c r="A128" s="4" t="s">
        <v>143</v>
      </c>
      <c r="B128" s="4">
        <v>584.0</v>
      </c>
      <c r="C128" s="4" t="s">
        <v>10</v>
      </c>
      <c r="D128" s="4" t="str">
        <f t="shared" si="1"/>
        <v>Safety Stock</v>
      </c>
      <c r="E128" s="4">
        <f t="shared" si="2"/>
        <v>233.6</v>
      </c>
      <c r="F128" s="4">
        <f t="shared" si="3"/>
        <v>168.7111111</v>
      </c>
      <c r="G128" s="4">
        <f t="shared" si="4"/>
        <v>234</v>
      </c>
      <c r="H128" s="4" t="str">
        <f t="shared" si="5"/>
        <v>Binh thuong</v>
      </c>
    </row>
    <row r="129" ht="14.25" customHeight="1">
      <c r="A129" s="4" t="s">
        <v>144</v>
      </c>
      <c r="B129" s="4">
        <v>624.0</v>
      </c>
      <c r="C129" s="4" t="s">
        <v>10</v>
      </c>
      <c r="D129" s="4" t="str">
        <f t="shared" si="1"/>
        <v>Safety Stock</v>
      </c>
      <c r="E129" s="4">
        <f t="shared" si="2"/>
        <v>249.6</v>
      </c>
      <c r="F129" s="4">
        <f t="shared" si="3"/>
        <v>180.2666667</v>
      </c>
      <c r="G129" s="4">
        <f t="shared" si="4"/>
        <v>250</v>
      </c>
      <c r="H129" s="4" t="str">
        <f t="shared" si="5"/>
        <v>Binh thuong</v>
      </c>
    </row>
    <row r="130" ht="14.25" customHeight="1">
      <c r="A130" s="4" t="s">
        <v>145</v>
      </c>
      <c r="B130" s="4">
        <v>4004.0</v>
      </c>
      <c r="C130" s="4" t="s">
        <v>10</v>
      </c>
      <c r="D130" s="4" t="str">
        <f t="shared" si="1"/>
        <v>Safety Stock</v>
      </c>
      <c r="E130" s="4">
        <f t="shared" si="2"/>
        <v>1601.6</v>
      </c>
      <c r="F130" s="4">
        <f t="shared" si="3"/>
        <v>1156.711111</v>
      </c>
      <c r="G130" s="4">
        <f t="shared" si="4"/>
        <v>1602</v>
      </c>
      <c r="H130" s="4" t="str">
        <f t="shared" si="5"/>
        <v>Binh thuong</v>
      </c>
    </row>
    <row r="131" ht="14.25" customHeight="1">
      <c r="A131" s="4" t="s">
        <v>146</v>
      </c>
      <c r="B131" s="4">
        <v>2212.0</v>
      </c>
      <c r="C131" s="4" t="s">
        <v>10</v>
      </c>
      <c r="D131" s="4" t="str">
        <f t="shared" si="1"/>
        <v>Safety Stock</v>
      </c>
      <c r="E131" s="4">
        <f t="shared" si="2"/>
        <v>884.8</v>
      </c>
      <c r="F131" s="4">
        <f t="shared" si="3"/>
        <v>639.0222222</v>
      </c>
      <c r="G131" s="4">
        <f t="shared" si="4"/>
        <v>885</v>
      </c>
      <c r="H131" s="4" t="str">
        <f t="shared" si="5"/>
        <v>Binh thuong</v>
      </c>
    </row>
    <row r="132" ht="14.25" customHeight="1">
      <c r="A132" s="4" t="s">
        <v>147</v>
      </c>
      <c r="B132" s="4">
        <v>640.0</v>
      </c>
      <c r="C132" s="4" t="s">
        <v>10</v>
      </c>
      <c r="D132" s="4" t="str">
        <f t="shared" si="1"/>
        <v>Safety Stock</v>
      </c>
      <c r="E132" s="4">
        <f t="shared" si="2"/>
        <v>256</v>
      </c>
      <c r="F132" s="4">
        <f t="shared" si="3"/>
        <v>184.8888889</v>
      </c>
      <c r="G132" s="4">
        <f t="shared" si="4"/>
        <v>256</v>
      </c>
      <c r="H132" s="4" t="str">
        <f t="shared" si="5"/>
        <v>Binh thuong</v>
      </c>
    </row>
    <row r="133" ht="14.25" customHeight="1">
      <c r="A133" s="4" t="s">
        <v>148</v>
      </c>
      <c r="B133" s="4">
        <v>272.0</v>
      </c>
      <c r="C133" s="4" t="s">
        <v>10</v>
      </c>
      <c r="D133" s="4" t="str">
        <f t="shared" si="1"/>
        <v>Safety Stock</v>
      </c>
      <c r="E133" s="4">
        <f t="shared" si="2"/>
        <v>108.8</v>
      </c>
      <c r="F133" s="4">
        <f t="shared" si="3"/>
        <v>78.57777778</v>
      </c>
      <c r="G133" s="4">
        <f t="shared" si="4"/>
        <v>109</v>
      </c>
      <c r="H133" s="4" t="str">
        <f t="shared" si="5"/>
        <v>Binh thuong</v>
      </c>
    </row>
    <row r="134" ht="14.25" customHeight="1">
      <c r="A134" s="4" t="s">
        <v>149</v>
      </c>
      <c r="B134" s="4">
        <v>428.0</v>
      </c>
      <c r="C134" s="4" t="s">
        <v>10</v>
      </c>
      <c r="D134" s="4" t="str">
        <f t="shared" si="1"/>
        <v>Safety Stock</v>
      </c>
      <c r="E134" s="4">
        <f t="shared" si="2"/>
        <v>171.2</v>
      </c>
      <c r="F134" s="4">
        <f t="shared" si="3"/>
        <v>123.6444444</v>
      </c>
      <c r="G134" s="4">
        <f t="shared" si="4"/>
        <v>171</v>
      </c>
      <c r="H134" s="4" t="str">
        <f t="shared" si="5"/>
        <v>Binh thuong</v>
      </c>
    </row>
    <row r="135" ht="14.25" customHeight="1">
      <c r="A135" s="4" t="s">
        <v>150</v>
      </c>
      <c r="B135" s="4">
        <v>1280.0</v>
      </c>
      <c r="C135" s="4" t="s">
        <v>10</v>
      </c>
      <c r="D135" s="4" t="str">
        <f t="shared" si="1"/>
        <v>Safety Stock</v>
      </c>
      <c r="E135" s="4">
        <f t="shared" si="2"/>
        <v>512</v>
      </c>
      <c r="F135" s="4">
        <f t="shared" si="3"/>
        <v>369.7777778</v>
      </c>
      <c r="G135" s="4">
        <f t="shared" si="4"/>
        <v>512</v>
      </c>
      <c r="H135" s="4" t="str">
        <f t="shared" si="5"/>
        <v>Binh thuong</v>
      </c>
    </row>
    <row r="136" ht="14.25" customHeight="1">
      <c r="A136" s="4" t="s">
        <v>151</v>
      </c>
      <c r="B136" s="4">
        <v>248.0</v>
      </c>
      <c r="C136" s="4" t="s">
        <v>10</v>
      </c>
      <c r="D136" s="4" t="str">
        <f t="shared" si="1"/>
        <v>Safety Stock</v>
      </c>
      <c r="E136" s="4">
        <f t="shared" si="2"/>
        <v>99.2</v>
      </c>
      <c r="F136" s="4">
        <f t="shared" si="3"/>
        <v>71.64444444</v>
      </c>
      <c r="G136" s="4">
        <f t="shared" si="4"/>
        <v>99</v>
      </c>
      <c r="H136" s="4" t="str">
        <f t="shared" si="5"/>
        <v>Binh thuong</v>
      </c>
    </row>
    <row r="137" ht="14.25" customHeight="1">
      <c r="A137" s="4" t="s">
        <v>152</v>
      </c>
      <c r="B137" s="4">
        <v>852.0</v>
      </c>
      <c r="C137" s="4" t="s">
        <v>10</v>
      </c>
      <c r="D137" s="4" t="str">
        <f t="shared" si="1"/>
        <v>Safety Stock</v>
      </c>
      <c r="E137" s="4">
        <f t="shared" si="2"/>
        <v>340.8</v>
      </c>
      <c r="F137" s="4">
        <f t="shared" si="3"/>
        <v>246.1333333</v>
      </c>
      <c r="G137" s="4">
        <f t="shared" si="4"/>
        <v>341</v>
      </c>
      <c r="H137" s="4" t="str">
        <f t="shared" si="5"/>
        <v>Binh thuong</v>
      </c>
    </row>
    <row r="138" ht="14.25" customHeight="1">
      <c r="A138" s="4" t="s">
        <v>153</v>
      </c>
      <c r="B138" s="4">
        <v>2574.0</v>
      </c>
      <c r="C138" s="4" t="s">
        <v>10</v>
      </c>
      <c r="D138" s="4" t="str">
        <f t="shared" si="1"/>
        <v>Safety Stock</v>
      </c>
      <c r="E138" s="4">
        <f t="shared" si="2"/>
        <v>1029.6</v>
      </c>
      <c r="F138" s="4">
        <f t="shared" si="3"/>
        <v>743.6</v>
      </c>
      <c r="G138" s="4">
        <f t="shared" si="4"/>
        <v>1030</v>
      </c>
      <c r="H138" s="4" t="str">
        <f t="shared" si="5"/>
        <v>Binh thuong</v>
      </c>
    </row>
    <row r="139" ht="14.25" customHeight="1">
      <c r="A139" s="4" t="s">
        <v>154</v>
      </c>
      <c r="B139" s="4">
        <v>1233.0</v>
      </c>
      <c r="C139" s="4" t="s">
        <v>10</v>
      </c>
      <c r="D139" s="4" t="str">
        <f t="shared" si="1"/>
        <v>Safety Stock</v>
      </c>
      <c r="E139" s="4">
        <f t="shared" si="2"/>
        <v>493.2</v>
      </c>
      <c r="F139" s="4">
        <f t="shared" si="3"/>
        <v>356.2</v>
      </c>
      <c r="G139" s="4">
        <f t="shared" si="4"/>
        <v>493</v>
      </c>
      <c r="H139" s="4" t="str">
        <f t="shared" si="5"/>
        <v>Binh thuong</v>
      </c>
    </row>
    <row r="140" ht="14.25" customHeight="1">
      <c r="A140" s="4" t="s">
        <v>155</v>
      </c>
      <c r="B140" s="4">
        <v>339.0</v>
      </c>
      <c r="C140" s="4" t="s">
        <v>10</v>
      </c>
      <c r="D140" s="4" t="str">
        <f t="shared" si="1"/>
        <v>Safety Stock</v>
      </c>
      <c r="E140" s="4">
        <f t="shared" si="2"/>
        <v>135.6</v>
      </c>
      <c r="F140" s="4">
        <f t="shared" si="3"/>
        <v>97.93333333</v>
      </c>
      <c r="G140" s="4">
        <f t="shared" si="4"/>
        <v>136</v>
      </c>
      <c r="H140" s="4" t="str">
        <f t="shared" si="5"/>
        <v>Binh thuong</v>
      </c>
    </row>
    <row r="141" ht="14.25" customHeight="1">
      <c r="A141" s="4" t="s">
        <v>156</v>
      </c>
      <c r="B141" s="4">
        <v>267.0</v>
      </c>
      <c r="C141" s="4" t="s">
        <v>10</v>
      </c>
      <c r="D141" s="4" t="str">
        <f t="shared" si="1"/>
        <v>Safety Stock</v>
      </c>
      <c r="E141" s="4">
        <f t="shared" si="2"/>
        <v>106.8</v>
      </c>
      <c r="F141" s="4">
        <f t="shared" si="3"/>
        <v>77.13333333</v>
      </c>
      <c r="G141" s="4">
        <f t="shared" si="4"/>
        <v>107</v>
      </c>
      <c r="H141" s="4" t="str">
        <f t="shared" si="5"/>
        <v>Binh thuong</v>
      </c>
    </row>
    <row r="142" ht="14.25" customHeight="1">
      <c r="A142" s="4" t="s">
        <v>157</v>
      </c>
      <c r="B142" s="4">
        <v>162.0</v>
      </c>
      <c r="C142" s="4" t="s">
        <v>10</v>
      </c>
      <c r="D142" s="4" t="str">
        <f t="shared" si="1"/>
        <v>Safety Stock</v>
      </c>
      <c r="E142" s="4">
        <f t="shared" si="2"/>
        <v>64.8</v>
      </c>
      <c r="F142" s="4">
        <f t="shared" si="3"/>
        <v>46.8</v>
      </c>
      <c r="G142" s="4">
        <f t="shared" si="4"/>
        <v>65</v>
      </c>
      <c r="H142" s="4" t="str">
        <f t="shared" si="5"/>
        <v>Binh thuong</v>
      </c>
    </row>
    <row r="143" ht="14.25" customHeight="1">
      <c r="A143" s="4" t="s">
        <v>158</v>
      </c>
      <c r="B143" s="4">
        <v>753.0</v>
      </c>
      <c r="C143" s="4" t="s">
        <v>10</v>
      </c>
      <c r="D143" s="4" t="str">
        <f t="shared" si="1"/>
        <v>Safety Stock</v>
      </c>
      <c r="E143" s="4">
        <f t="shared" si="2"/>
        <v>301.2</v>
      </c>
      <c r="F143" s="4">
        <f t="shared" si="3"/>
        <v>217.5333333</v>
      </c>
      <c r="G143" s="4">
        <f t="shared" si="4"/>
        <v>301</v>
      </c>
      <c r="H143" s="4" t="str">
        <f t="shared" si="5"/>
        <v>Binh thuong</v>
      </c>
    </row>
    <row r="144" ht="14.25" customHeight="1">
      <c r="A144" s="4" t="s">
        <v>159</v>
      </c>
      <c r="B144" s="4">
        <v>344.0</v>
      </c>
      <c r="C144" s="4" t="s">
        <v>10</v>
      </c>
      <c r="D144" s="4" t="str">
        <f t="shared" si="1"/>
        <v>Safety Stock</v>
      </c>
      <c r="E144" s="4">
        <f t="shared" si="2"/>
        <v>137.6</v>
      </c>
      <c r="F144" s="4">
        <f t="shared" si="3"/>
        <v>99.37777778</v>
      </c>
      <c r="G144" s="4">
        <f t="shared" si="4"/>
        <v>138</v>
      </c>
      <c r="H144" s="4" t="str">
        <f t="shared" si="5"/>
        <v>Binh thuong</v>
      </c>
    </row>
    <row r="145" ht="14.25" customHeight="1">
      <c r="A145" s="4" t="s">
        <v>160</v>
      </c>
      <c r="B145" s="4">
        <v>336.0</v>
      </c>
      <c r="C145" s="4" t="s">
        <v>10</v>
      </c>
      <c r="D145" s="4" t="str">
        <f t="shared" si="1"/>
        <v>Safety Stock</v>
      </c>
      <c r="E145" s="4">
        <f t="shared" si="2"/>
        <v>134.4</v>
      </c>
      <c r="F145" s="4">
        <f t="shared" si="3"/>
        <v>97.06666667</v>
      </c>
      <c r="G145" s="4">
        <f t="shared" si="4"/>
        <v>134</v>
      </c>
      <c r="H145" s="4" t="str">
        <f t="shared" si="5"/>
        <v>Binh thuong</v>
      </c>
    </row>
    <row r="146" ht="14.25" customHeight="1">
      <c r="A146" s="4" t="s">
        <v>161</v>
      </c>
      <c r="B146" s="4">
        <v>480.0</v>
      </c>
      <c r="C146" s="4" t="s">
        <v>10</v>
      </c>
      <c r="D146" s="4" t="str">
        <f t="shared" si="1"/>
        <v>Safety Stock</v>
      </c>
      <c r="E146" s="4">
        <f t="shared" si="2"/>
        <v>192</v>
      </c>
      <c r="F146" s="4">
        <f t="shared" si="3"/>
        <v>138.6666667</v>
      </c>
      <c r="G146" s="4">
        <f t="shared" si="4"/>
        <v>192</v>
      </c>
      <c r="H146" s="4" t="str">
        <f t="shared" si="5"/>
        <v>Binh thuong</v>
      </c>
    </row>
    <row r="147" ht="14.25" customHeight="1">
      <c r="A147" s="4" t="s">
        <v>162</v>
      </c>
      <c r="B147" s="4">
        <v>200.0</v>
      </c>
      <c r="C147" s="4" t="s">
        <v>10</v>
      </c>
      <c r="D147" s="4" t="str">
        <f t="shared" si="1"/>
        <v>Safety Stock</v>
      </c>
      <c r="E147" s="4">
        <f t="shared" si="2"/>
        <v>80</v>
      </c>
      <c r="F147" s="4">
        <f t="shared" si="3"/>
        <v>57.77777778</v>
      </c>
      <c r="G147" s="4">
        <f t="shared" si="4"/>
        <v>80</v>
      </c>
      <c r="H147" s="4" t="str">
        <f t="shared" si="5"/>
        <v>Binh thuong</v>
      </c>
    </row>
    <row r="148" ht="14.25" customHeight="1">
      <c r="A148" s="4" t="s">
        <v>163</v>
      </c>
      <c r="B148" s="4">
        <v>4240.0</v>
      </c>
      <c r="C148" s="4" t="s">
        <v>10</v>
      </c>
      <c r="D148" s="4" t="str">
        <f t="shared" si="1"/>
        <v>Safety Stock</v>
      </c>
      <c r="E148" s="4">
        <f t="shared" si="2"/>
        <v>1696</v>
      </c>
      <c r="F148" s="4">
        <f t="shared" si="3"/>
        <v>1224.888889</v>
      </c>
      <c r="G148" s="4">
        <f t="shared" si="4"/>
        <v>1696</v>
      </c>
      <c r="H148" s="4" t="str">
        <f t="shared" si="5"/>
        <v>Binh thuong</v>
      </c>
    </row>
    <row r="149" ht="14.25" customHeight="1">
      <c r="A149" s="4" t="s">
        <v>164</v>
      </c>
      <c r="B149" s="4">
        <v>232.0</v>
      </c>
      <c r="C149" s="4" t="s">
        <v>10</v>
      </c>
      <c r="D149" s="4" t="str">
        <f t="shared" si="1"/>
        <v>Safety Stock</v>
      </c>
      <c r="E149" s="4">
        <f t="shared" si="2"/>
        <v>92.8</v>
      </c>
      <c r="F149" s="4">
        <f t="shared" si="3"/>
        <v>67.02222222</v>
      </c>
      <c r="G149" s="4">
        <f t="shared" si="4"/>
        <v>93</v>
      </c>
      <c r="H149" s="4" t="str">
        <f t="shared" si="5"/>
        <v>Binh thuong</v>
      </c>
    </row>
    <row r="150" ht="14.25" customHeight="1">
      <c r="A150" s="4" t="s">
        <v>165</v>
      </c>
      <c r="B150" s="4">
        <v>1560.0</v>
      </c>
      <c r="C150" s="4" t="s">
        <v>10</v>
      </c>
      <c r="D150" s="4" t="str">
        <f t="shared" si="1"/>
        <v>Safety Stock</v>
      </c>
      <c r="E150" s="4">
        <f t="shared" si="2"/>
        <v>624</v>
      </c>
      <c r="F150" s="4">
        <f t="shared" si="3"/>
        <v>450.6666667</v>
      </c>
      <c r="G150" s="4">
        <f t="shared" si="4"/>
        <v>624</v>
      </c>
      <c r="H150" s="4" t="str">
        <f t="shared" si="5"/>
        <v>Binh thuong</v>
      </c>
    </row>
    <row r="151" ht="14.25" customHeight="1">
      <c r="A151" s="4" t="s">
        <v>166</v>
      </c>
      <c r="B151" s="4">
        <v>688.0</v>
      </c>
      <c r="C151" s="4" t="s">
        <v>10</v>
      </c>
      <c r="D151" s="4" t="str">
        <f t="shared" si="1"/>
        <v>Safety Stock</v>
      </c>
      <c r="E151" s="4">
        <f t="shared" si="2"/>
        <v>275.2</v>
      </c>
      <c r="F151" s="4">
        <f t="shared" si="3"/>
        <v>198.7555556</v>
      </c>
      <c r="G151" s="4">
        <f t="shared" si="4"/>
        <v>275</v>
      </c>
      <c r="H151" s="4" t="str">
        <f t="shared" si="5"/>
        <v>Binh thuong</v>
      </c>
    </row>
    <row r="152" ht="14.25" customHeight="1">
      <c r="A152" s="4" t="s">
        <v>167</v>
      </c>
      <c r="B152" s="4">
        <v>3080.0</v>
      </c>
      <c r="C152" s="4" t="s">
        <v>10</v>
      </c>
      <c r="D152" s="4" t="str">
        <f t="shared" si="1"/>
        <v>Safety Stock</v>
      </c>
      <c r="E152" s="4">
        <f t="shared" si="2"/>
        <v>1232</v>
      </c>
      <c r="F152" s="4">
        <f t="shared" si="3"/>
        <v>889.7777778</v>
      </c>
      <c r="G152" s="4">
        <f t="shared" si="4"/>
        <v>1232</v>
      </c>
      <c r="H152" s="4" t="str">
        <f t="shared" si="5"/>
        <v>Binh thuong</v>
      </c>
    </row>
    <row r="153" ht="14.25" customHeight="1">
      <c r="A153" s="4" t="s">
        <v>168</v>
      </c>
      <c r="B153" s="4">
        <v>2160.0</v>
      </c>
      <c r="C153" s="4" t="s">
        <v>10</v>
      </c>
      <c r="D153" s="4" t="str">
        <f t="shared" si="1"/>
        <v>Safety Stock</v>
      </c>
      <c r="E153" s="4">
        <f t="shared" si="2"/>
        <v>864</v>
      </c>
      <c r="F153" s="4">
        <f t="shared" si="3"/>
        <v>624</v>
      </c>
      <c r="G153" s="4">
        <f t="shared" si="4"/>
        <v>864</v>
      </c>
      <c r="H153" s="4" t="str">
        <f t="shared" si="5"/>
        <v>Binh thuong</v>
      </c>
    </row>
    <row r="154" ht="14.25" customHeight="1">
      <c r="A154" s="4" t="s">
        <v>169</v>
      </c>
      <c r="B154" s="4">
        <v>2600.0</v>
      </c>
      <c r="C154" s="4" t="s">
        <v>10</v>
      </c>
      <c r="D154" s="4" t="str">
        <f t="shared" si="1"/>
        <v>Safety Stock</v>
      </c>
      <c r="E154" s="4">
        <f t="shared" si="2"/>
        <v>1040</v>
      </c>
      <c r="F154" s="4">
        <f t="shared" si="3"/>
        <v>751.1111111</v>
      </c>
      <c r="G154" s="4">
        <f t="shared" si="4"/>
        <v>1040</v>
      </c>
      <c r="H154" s="4" t="str">
        <f t="shared" si="5"/>
        <v>Binh thuong</v>
      </c>
    </row>
    <row r="155" ht="14.25" customHeight="1">
      <c r="A155" s="4" t="s">
        <v>170</v>
      </c>
      <c r="B155" s="4">
        <v>776.0</v>
      </c>
      <c r="C155" s="4" t="s">
        <v>10</v>
      </c>
      <c r="D155" s="4" t="str">
        <f t="shared" si="1"/>
        <v>Safety Stock</v>
      </c>
      <c r="E155" s="4">
        <f t="shared" si="2"/>
        <v>310.4</v>
      </c>
      <c r="F155" s="4">
        <f t="shared" si="3"/>
        <v>224.1777778</v>
      </c>
      <c r="G155" s="4">
        <f t="shared" si="4"/>
        <v>310</v>
      </c>
      <c r="H155" s="4" t="str">
        <f t="shared" si="5"/>
        <v>Binh thuong</v>
      </c>
    </row>
    <row r="156" ht="14.25" customHeight="1">
      <c r="A156" s="4" t="s">
        <v>171</v>
      </c>
      <c r="B156" s="4">
        <v>3888.0</v>
      </c>
      <c r="C156" s="4" t="s">
        <v>10</v>
      </c>
      <c r="D156" s="4" t="str">
        <f t="shared" si="1"/>
        <v>Safety Stock</v>
      </c>
      <c r="E156" s="4">
        <f t="shared" si="2"/>
        <v>1555.2</v>
      </c>
      <c r="F156" s="4">
        <f t="shared" si="3"/>
        <v>1123.2</v>
      </c>
      <c r="G156" s="4">
        <f t="shared" si="4"/>
        <v>1555</v>
      </c>
      <c r="H156" s="4" t="str">
        <f t="shared" si="5"/>
        <v>Binh thuong</v>
      </c>
    </row>
    <row r="157" ht="14.25" customHeight="1">
      <c r="A157" s="4" t="s">
        <v>172</v>
      </c>
      <c r="B157" s="4">
        <v>968.0</v>
      </c>
      <c r="C157" s="4" t="s">
        <v>10</v>
      </c>
      <c r="D157" s="4" t="str">
        <f t="shared" si="1"/>
        <v>Safety Stock</v>
      </c>
      <c r="E157" s="4">
        <f t="shared" si="2"/>
        <v>387.2</v>
      </c>
      <c r="F157" s="4">
        <f t="shared" si="3"/>
        <v>279.6444444</v>
      </c>
      <c r="G157" s="4">
        <f t="shared" si="4"/>
        <v>387</v>
      </c>
      <c r="H157" s="4" t="str">
        <f t="shared" si="5"/>
        <v>Binh thuong</v>
      </c>
    </row>
    <row r="158" ht="14.25" customHeight="1">
      <c r="A158" s="4" t="s">
        <v>173</v>
      </c>
      <c r="B158" s="4">
        <v>2664.0</v>
      </c>
      <c r="C158" s="4" t="s">
        <v>10</v>
      </c>
      <c r="D158" s="4" t="str">
        <f t="shared" si="1"/>
        <v>Safety Stock</v>
      </c>
      <c r="E158" s="4">
        <f t="shared" si="2"/>
        <v>1065.6</v>
      </c>
      <c r="F158" s="4">
        <f t="shared" si="3"/>
        <v>769.6</v>
      </c>
      <c r="G158" s="4">
        <f t="shared" si="4"/>
        <v>1066</v>
      </c>
      <c r="H158" s="4" t="str">
        <f t="shared" si="5"/>
        <v>Binh thuong</v>
      </c>
    </row>
    <row r="159" ht="14.25" customHeight="1">
      <c r="A159" s="4" t="s">
        <v>174</v>
      </c>
      <c r="B159" s="4">
        <v>32.0</v>
      </c>
      <c r="C159" s="4" t="s">
        <v>10</v>
      </c>
      <c r="D159" s="4" t="str">
        <f t="shared" si="1"/>
        <v>Safety Stock</v>
      </c>
      <c r="E159" s="4">
        <f t="shared" si="2"/>
        <v>12.8</v>
      </c>
      <c r="F159" s="4">
        <f t="shared" si="3"/>
        <v>9.244444444</v>
      </c>
      <c r="G159" s="4">
        <f t="shared" si="4"/>
        <v>13</v>
      </c>
      <c r="H159" s="4" t="str">
        <f t="shared" si="5"/>
        <v>Binh thuong</v>
      </c>
    </row>
    <row r="160" ht="14.25" customHeight="1">
      <c r="A160" s="4" t="s">
        <v>175</v>
      </c>
      <c r="B160" s="4">
        <v>352.0</v>
      </c>
      <c r="C160" s="4" t="s">
        <v>10</v>
      </c>
      <c r="D160" s="4" t="str">
        <f t="shared" si="1"/>
        <v>Safety Stock</v>
      </c>
      <c r="E160" s="4">
        <f t="shared" si="2"/>
        <v>140.8</v>
      </c>
      <c r="F160" s="4">
        <f t="shared" si="3"/>
        <v>101.6888889</v>
      </c>
      <c r="G160" s="4">
        <f t="shared" si="4"/>
        <v>141</v>
      </c>
      <c r="H160" s="4" t="str">
        <f t="shared" si="5"/>
        <v>Binh thuong</v>
      </c>
    </row>
    <row r="161" ht="14.25" customHeight="1">
      <c r="A161" s="4" t="s">
        <v>176</v>
      </c>
      <c r="B161" s="4">
        <v>2432.0</v>
      </c>
      <c r="C161" s="4" t="s">
        <v>10</v>
      </c>
      <c r="D161" s="4" t="str">
        <f t="shared" si="1"/>
        <v>Safety Stock</v>
      </c>
      <c r="E161" s="4">
        <f t="shared" si="2"/>
        <v>972.8</v>
      </c>
      <c r="F161" s="4">
        <f t="shared" si="3"/>
        <v>702.5777778</v>
      </c>
      <c r="G161" s="4">
        <f t="shared" si="4"/>
        <v>973</v>
      </c>
      <c r="H161" s="4" t="str">
        <f t="shared" si="5"/>
        <v>Binh thuong</v>
      </c>
    </row>
    <row r="162" ht="14.25" customHeight="1">
      <c r="A162" s="4" t="s">
        <v>177</v>
      </c>
      <c r="B162" s="4">
        <v>488.0</v>
      </c>
      <c r="C162" s="4" t="s">
        <v>10</v>
      </c>
      <c r="D162" s="4" t="str">
        <f t="shared" si="1"/>
        <v>Safety Stock</v>
      </c>
      <c r="E162" s="4">
        <f t="shared" si="2"/>
        <v>195.2</v>
      </c>
      <c r="F162" s="4">
        <f t="shared" si="3"/>
        <v>140.9777778</v>
      </c>
      <c r="G162" s="4">
        <f t="shared" si="4"/>
        <v>195</v>
      </c>
      <c r="H162" s="4" t="str">
        <f t="shared" si="5"/>
        <v>Binh thuong</v>
      </c>
    </row>
    <row r="163" ht="14.25" customHeight="1">
      <c r="A163" s="4" t="s">
        <v>178</v>
      </c>
      <c r="B163" s="4">
        <v>3552.0</v>
      </c>
      <c r="C163" s="4" t="s">
        <v>10</v>
      </c>
      <c r="D163" s="4" t="str">
        <f t="shared" si="1"/>
        <v>Safety Stock</v>
      </c>
      <c r="E163" s="4">
        <f t="shared" si="2"/>
        <v>1420.8</v>
      </c>
      <c r="F163" s="4">
        <f t="shared" si="3"/>
        <v>1026.133333</v>
      </c>
      <c r="G163" s="4">
        <f t="shared" si="4"/>
        <v>1421</v>
      </c>
      <c r="H163" s="4" t="str">
        <f t="shared" si="5"/>
        <v>Binh thuong</v>
      </c>
    </row>
    <row r="164" ht="14.25" customHeight="1">
      <c r="A164" s="4" t="s">
        <v>179</v>
      </c>
      <c r="B164" s="4">
        <v>23.0</v>
      </c>
      <c r="C164" s="4" t="s">
        <v>10</v>
      </c>
      <c r="D164" s="4" t="str">
        <f t="shared" si="1"/>
        <v>Safety Stock</v>
      </c>
      <c r="E164" s="4">
        <f t="shared" si="2"/>
        <v>9.2</v>
      </c>
      <c r="F164" s="4">
        <f t="shared" si="3"/>
        <v>6.644444444</v>
      </c>
      <c r="G164" s="4">
        <f t="shared" si="4"/>
        <v>9</v>
      </c>
      <c r="H164" s="4" t="str">
        <f t="shared" si="5"/>
        <v>Binh thuong</v>
      </c>
    </row>
    <row r="165" ht="14.25" customHeight="1">
      <c r="A165" s="4" t="s">
        <v>180</v>
      </c>
      <c r="B165" s="4">
        <v>2856.0</v>
      </c>
      <c r="C165" s="4" t="s">
        <v>10</v>
      </c>
      <c r="D165" s="4" t="str">
        <f t="shared" si="1"/>
        <v>Safety Stock</v>
      </c>
      <c r="E165" s="4">
        <f t="shared" si="2"/>
        <v>1142.4</v>
      </c>
      <c r="F165" s="4">
        <f t="shared" si="3"/>
        <v>825.0666667</v>
      </c>
      <c r="G165" s="4">
        <f t="shared" si="4"/>
        <v>1142</v>
      </c>
      <c r="H165" s="4" t="str">
        <f t="shared" si="5"/>
        <v>Binh thuong</v>
      </c>
    </row>
    <row r="166" ht="14.25" customHeight="1">
      <c r="A166" s="4" t="s">
        <v>181</v>
      </c>
      <c r="B166" s="4">
        <v>1952.0</v>
      </c>
      <c r="C166" s="4" t="s">
        <v>10</v>
      </c>
      <c r="D166" s="4" t="str">
        <f t="shared" si="1"/>
        <v>Safety Stock</v>
      </c>
      <c r="E166" s="4">
        <f t="shared" si="2"/>
        <v>780.8</v>
      </c>
      <c r="F166" s="4">
        <f t="shared" si="3"/>
        <v>563.9111111</v>
      </c>
      <c r="G166" s="4">
        <f t="shared" si="4"/>
        <v>781</v>
      </c>
      <c r="H166" s="4" t="str">
        <f t="shared" si="5"/>
        <v>Binh thuong</v>
      </c>
    </row>
    <row r="167" ht="14.25" customHeight="1">
      <c r="A167" s="4" t="s">
        <v>182</v>
      </c>
      <c r="B167" s="4">
        <v>1464.0</v>
      </c>
      <c r="C167" s="4" t="s">
        <v>10</v>
      </c>
      <c r="D167" s="4" t="str">
        <f t="shared" si="1"/>
        <v>Safety Stock</v>
      </c>
      <c r="E167" s="4">
        <f t="shared" si="2"/>
        <v>585.6</v>
      </c>
      <c r="F167" s="4">
        <f t="shared" si="3"/>
        <v>422.9333333</v>
      </c>
      <c r="G167" s="4">
        <f t="shared" si="4"/>
        <v>586</v>
      </c>
      <c r="H167" s="4" t="str">
        <f t="shared" si="5"/>
        <v>Binh thuong</v>
      </c>
    </row>
    <row r="168" ht="14.25" customHeight="1">
      <c r="A168" s="4" t="s">
        <v>183</v>
      </c>
      <c r="B168" s="4">
        <v>576.0</v>
      </c>
      <c r="C168" s="4" t="s">
        <v>10</v>
      </c>
      <c r="D168" s="4" t="str">
        <f t="shared" si="1"/>
        <v>Safety Stock</v>
      </c>
      <c r="E168" s="4">
        <f t="shared" si="2"/>
        <v>230.4</v>
      </c>
      <c r="F168" s="4">
        <f t="shared" si="3"/>
        <v>166.4</v>
      </c>
      <c r="G168" s="4">
        <f t="shared" si="4"/>
        <v>230</v>
      </c>
      <c r="H168" s="4" t="str">
        <f t="shared" si="5"/>
        <v>Binh thuong</v>
      </c>
    </row>
    <row r="169" ht="14.25" customHeight="1">
      <c r="A169" s="4" t="s">
        <v>184</v>
      </c>
      <c r="B169" s="4">
        <v>1176.0</v>
      </c>
      <c r="C169" s="4" t="s">
        <v>10</v>
      </c>
      <c r="D169" s="4" t="str">
        <f t="shared" si="1"/>
        <v>Safety Stock</v>
      </c>
      <c r="E169" s="4">
        <f t="shared" si="2"/>
        <v>470.4</v>
      </c>
      <c r="F169" s="4">
        <f t="shared" si="3"/>
        <v>339.7333333</v>
      </c>
      <c r="G169" s="4">
        <f t="shared" si="4"/>
        <v>470</v>
      </c>
      <c r="H169" s="4" t="str">
        <f t="shared" si="5"/>
        <v>Binh thuong</v>
      </c>
    </row>
    <row r="170" ht="14.25" customHeight="1">
      <c r="A170" s="4" t="s">
        <v>185</v>
      </c>
      <c r="B170" s="4">
        <v>680.0</v>
      </c>
      <c r="C170" s="4" t="s">
        <v>10</v>
      </c>
      <c r="D170" s="4" t="str">
        <f t="shared" si="1"/>
        <v>Safety Stock</v>
      </c>
      <c r="E170" s="4">
        <f t="shared" si="2"/>
        <v>272</v>
      </c>
      <c r="F170" s="4">
        <f t="shared" si="3"/>
        <v>196.4444444</v>
      </c>
      <c r="G170" s="4">
        <f t="shared" si="4"/>
        <v>272</v>
      </c>
      <c r="H170" s="4" t="str">
        <f t="shared" si="5"/>
        <v>Binh thuong</v>
      </c>
    </row>
    <row r="171" ht="14.25" customHeight="1">
      <c r="A171" s="4" t="s">
        <v>186</v>
      </c>
      <c r="B171" s="4">
        <v>220.0</v>
      </c>
      <c r="C171" s="4" t="s">
        <v>10</v>
      </c>
      <c r="D171" s="4" t="str">
        <f t="shared" si="1"/>
        <v>Safety Stock</v>
      </c>
      <c r="E171" s="4">
        <f t="shared" si="2"/>
        <v>88</v>
      </c>
      <c r="F171" s="4">
        <f t="shared" si="3"/>
        <v>63.55555556</v>
      </c>
      <c r="G171" s="4">
        <f t="shared" si="4"/>
        <v>88</v>
      </c>
      <c r="H171" s="4" t="str">
        <f t="shared" si="5"/>
        <v>Binh thuong</v>
      </c>
    </row>
    <row r="172" ht="14.25" customHeight="1">
      <c r="A172" s="4" t="s">
        <v>187</v>
      </c>
      <c r="B172" s="4">
        <v>584.0</v>
      </c>
      <c r="C172" s="4" t="s">
        <v>10</v>
      </c>
      <c r="D172" s="4" t="str">
        <f t="shared" si="1"/>
        <v>Safety Stock</v>
      </c>
      <c r="E172" s="4">
        <f t="shared" si="2"/>
        <v>233.6</v>
      </c>
      <c r="F172" s="4">
        <f t="shared" si="3"/>
        <v>168.7111111</v>
      </c>
      <c r="G172" s="4">
        <f t="shared" si="4"/>
        <v>234</v>
      </c>
      <c r="H172" s="4" t="str">
        <f t="shared" si="5"/>
        <v>Binh thuong</v>
      </c>
    </row>
    <row r="173" ht="14.25" customHeight="1">
      <c r="A173" s="4" t="s">
        <v>188</v>
      </c>
      <c r="B173" s="4">
        <v>456.0</v>
      </c>
      <c r="C173" s="4" t="s">
        <v>10</v>
      </c>
      <c r="D173" s="4" t="str">
        <f t="shared" si="1"/>
        <v>Safety Stock</v>
      </c>
      <c r="E173" s="4">
        <f t="shared" si="2"/>
        <v>182.4</v>
      </c>
      <c r="F173" s="4">
        <f t="shared" si="3"/>
        <v>131.7333333</v>
      </c>
      <c r="G173" s="4">
        <f t="shared" si="4"/>
        <v>182</v>
      </c>
      <c r="H173" s="4" t="str">
        <f t="shared" si="5"/>
        <v>Binh thuong</v>
      </c>
    </row>
    <row r="174" ht="14.25" customHeight="1">
      <c r="A174" s="4" t="s">
        <v>189</v>
      </c>
      <c r="B174" s="4">
        <v>312.0</v>
      </c>
      <c r="C174" s="4" t="s">
        <v>10</v>
      </c>
      <c r="D174" s="4" t="str">
        <f t="shared" si="1"/>
        <v>Safety Stock</v>
      </c>
      <c r="E174" s="4">
        <f t="shared" si="2"/>
        <v>124.8</v>
      </c>
      <c r="F174" s="4">
        <f t="shared" si="3"/>
        <v>90.13333333</v>
      </c>
      <c r="G174" s="4">
        <f t="shared" si="4"/>
        <v>125</v>
      </c>
      <c r="H174" s="4" t="str">
        <f t="shared" si="5"/>
        <v>Binh thuong</v>
      </c>
    </row>
    <row r="175" ht="14.25" customHeight="1">
      <c r="A175" s="4" t="s">
        <v>190</v>
      </c>
      <c r="B175" s="4">
        <v>200.0</v>
      </c>
      <c r="C175" s="4" t="s">
        <v>10</v>
      </c>
      <c r="D175" s="4" t="str">
        <f t="shared" si="1"/>
        <v>Safety Stock</v>
      </c>
      <c r="E175" s="4">
        <f t="shared" si="2"/>
        <v>80</v>
      </c>
      <c r="F175" s="4">
        <f t="shared" si="3"/>
        <v>57.77777778</v>
      </c>
      <c r="G175" s="4">
        <f t="shared" si="4"/>
        <v>80</v>
      </c>
      <c r="H175" s="4" t="str">
        <f t="shared" si="5"/>
        <v>Binh thuong</v>
      </c>
    </row>
    <row r="176" ht="14.25" customHeight="1">
      <c r="A176" s="4" t="s">
        <v>191</v>
      </c>
      <c r="B176" s="4">
        <v>276.0</v>
      </c>
      <c r="C176" s="4" t="s">
        <v>10</v>
      </c>
      <c r="D176" s="4" t="str">
        <f t="shared" si="1"/>
        <v>Safety Stock</v>
      </c>
      <c r="E176" s="4">
        <f t="shared" si="2"/>
        <v>110.4</v>
      </c>
      <c r="F176" s="4">
        <f t="shared" si="3"/>
        <v>79.73333333</v>
      </c>
      <c r="G176" s="4">
        <f t="shared" si="4"/>
        <v>110</v>
      </c>
      <c r="H176" s="4" t="str">
        <f t="shared" si="5"/>
        <v>Binh thuong</v>
      </c>
    </row>
    <row r="177" ht="14.25" customHeight="1">
      <c r="A177" s="4" t="s">
        <v>192</v>
      </c>
      <c r="B177" s="4">
        <v>392.0</v>
      </c>
      <c r="C177" s="4" t="s">
        <v>10</v>
      </c>
      <c r="D177" s="4" t="str">
        <f t="shared" si="1"/>
        <v>Safety Stock</v>
      </c>
      <c r="E177" s="4">
        <f t="shared" si="2"/>
        <v>156.8</v>
      </c>
      <c r="F177" s="4">
        <f t="shared" si="3"/>
        <v>113.2444444</v>
      </c>
      <c r="G177" s="4">
        <f t="shared" si="4"/>
        <v>157</v>
      </c>
      <c r="H177" s="4" t="str">
        <f t="shared" si="5"/>
        <v>Binh thuong</v>
      </c>
    </row>
    <row r="178" ht="14.25" customHeight="1">
      <c r="A178" s="4" t="s">
        <v>193</v>
      </c>
      <c r="B178" s="4">
        <v>213.0</v>
      </c>
      <c r="C178" s="4" t="s">
        <v>10</v>
      </c>
      <c r="D178" s="4" t="str">
        <f t="shared" si="1"/>
        <v>Safety Stock</v>
      </c>
      <c r="E178" s="4">
        <f t="shared" si="2"/>
        <v>85.2</v>
      </c>
      <c r="F178" s="4">
        <f t="shared" si="3"/>
        <v>61.53333333</v>
      </c>
      <c r="G178" s="4">
        <f t="shared" si="4"/>
        <v>85</v>
      </c>
      <c r="H178" s="4" t="str">
        <f t="shared" si="5"/>
        <v>Binh thuong</v>
      </c>
    </row>
    <row r="179" ht="14.25" customHeight="1">
      <c r="A179" s="4" t="s">
        <v>194</v>
      </c>
      <c r="B179" s="4">
        <v>1950.0</v>
      </c>
      <c r="C179" s="4" t="s">
        <v>10</v>
      </c>
      <c r="D179" s="4" t="str">
        <f t="shared" si="1"/>
        <v>Safety Stock</v>
      </c>
      <c r="E179" s="4">
        <f t="shared" si="2"/>
        <v>780</v>
      </c>
      <c r="F179" s="4">
        <f t="shared" si="3"/>
        <v>563.3333333</v>
      </c>
      <c r="G179" s="4">
        <f t="shared" si="4"/>
        <v>780</v>
      </c>
      <c r="H179" s="4" t="str">
        <f t="shared" si="5"/>
        <v>Binh thuong</v>
      </c>
    </row>
    <row r="180" ht="14.25" customHeight="1">
      <c r="A180" s="4" t="s">
        <v>195</v>
      </c>
      <c r="B180" s="4">
        <v>372.0</v>
      </c>
      <c r="C180" s="4" t="s">
        <v>10</v>
      </c>
      <c r="D180" s="4" t="str">
        <f t="shared" si="1"/>
        <v>Safety Stock</v>
      </c>
      <c r="E180" s="4">
        <f t="shared" si="2"/>
        <v>148.8</v>
      </c>
      <c r="F180" s="4">
        <f t="shared" si="3"/>
        <v>107.4666667</v>
      </c>
      <c r="G180" s="4">
        <f t="shared" si="4"/>
        <v>149</v>
      </c>
      <c r="H180" s="4" t="str">
        <f t="shared" si="5"/>
        <v>Binh thuong</v>
      </c>
    </row>
    <row r="181" ht="14.25" customHeight="1">
      <c r="A181" s="4" t="s">
        <v>196</v>
      </c>
      <c r="B181" s="4">
        <v>192.0</v>
      </c>
      <c r="C181" s="4" t="s">
        <v>10</v>
      </c>
      <c r="D181" s="4" t="str">
        <f t="shared" si="1"/>
        <v>Safety Stock</v>
      </c>
      <c r="E181" s="4">
        <f t="shared" si="2"/>
        <v>76.8</v>
      </c>
      <c r="F181" s="4">
        <f t="shared" si="3"/>
        <v>55.46666667</v>
      </c>
      <c r="G181" s="4">
        <f t="shared" si="4"/>
        <v>77</v>
      </c>
      <c r="H181" s="4" t="str">
        <f t="shared" si="5"/>
        <v>Binh thuong</v>
      </c>
    </row>
    <row r="182" ht="14.25" customHeight="1">
      <c r="A182" s="4" t="s">
        <v>197</v>
      </c>
      <c r="B182" s="4">
        <v>102.0</v>
      </c>
      <c r="C182" s="4" t="s">
        <v>10</v>
      </c>
      <c r="D182" s="4" t="str">
        <f t="shared" si="1"/>
        <v>Safety Stock</v>
      </c>
      <c r="E182" s="4">
        <f t="shared" si="2"/>
        <v>40.8</v>
      </c>
      <c r="F182" s="4">
        <f t="shared" si="3"/>
        <v>29.46666667</v>
      </c>
      <c r="G182" s="4">
        <f t="shared" si="4"/>
        <v>41</v>
      </c>
      <c r="H182" s="4" t="str">
        <f t="shared" si="5"/>
        <v>Binh thuong</v>
      </c>
    </row>
    <row r="183" ht="14.25" customHeight="1">
      <c r="A183" s="4" t="s">
        <v>198</v>
      </c>
      <c r="B183" s="4">
        <v>159.0</v>
      </c>
      <c r="C183" s="4" t="s">
        <v>10</v>
      </c>
      <c r="D183" s="4" t="str">
        <f t="shared" si="1"/>
        <v>Safety Stock</v>
      </c>
      <c r="E183" s="4">
        <f t="shared" si="2"/>
        <v>63.6</v>
      </c>
      <c r="F183" s="4">
        <f t="shared" si="3"/>
        <v>45.93333333</v>
      </c>
      <c r="G183" s="4">
        <f t="shared" si="4"/>
        <v>64</v>
      </c>
      <c r="H183" s="4" t="str">
        <f t="shared" si="5"/>
        <v>Binh thuong</v>
      </c>
    </row>
    <row r="184" ht="14.25" customHeight="1">
      <c r="A184" s="4" t="s">
        <v>199</v>
      </c>
      <c r="B184" s="4">
        <v>2320.0</v>
      </c>
      <c r="C184" s="4" t="s">
        <v>10</v>
      </c>
      <c r="D184" s="4" t="str">
        <f t="shared" si="1"/>
        <v>Safety Stock</v>
      </c>
      <c r="E184" s="4">
        <f t="shared" si="2"/>
        <v>928</v>
      </c>
      <c r="F184" s="4">
        <f t="shared" si="3"/>
        <v>670.2222222</v>
      </c>
      <c r="G184" s="4">
        <f t="shared" si="4"/>
        <v>928</v>
      </c>
      <c r="H184" s="4" t="str">
        <f t="shared" si="5"/>
        <v>Binh thuong</v>
      </c>
    </row>
    <row r="185" ht="14.25" customHeight="1">
      <c r="A185" s="4" t="s">
        <v>200</v>
      </c>
      <c r="B185" s="4">
        <v>40.0</v>
      </c>
      <c r="C185" s="4" t="s">
        <v>10</v>
      </c>
      <c r="D185" s="4" t="str">
        <f t="shared" si="1"/>
        <v>Safety Stock</v>
      </c>
      <c r="E185" s="4">
        <f t="shared" si="2"/>
        <v>16</v>
      </c>
      <c r="F185" s="4">
        <f t="shared" si="3"/>
        <v>11.55555556</v>
      </c>
      <c r="G185" s="4">
        <f t="shared" si="4"/>
        <v>16</v>
      </c>
      <c r="H185" s="4" t="str">
        <f t="shared" si="5"/>
        <v>Binh thuong</v>
      </c>
    </row>
    <row r="186" ht="14.25" customHeight="1">
      <c r="A186" s="4" t="s">
        <v>201</v>
      </c>
      <c r="B186" s="4">
        <v>456.0</v>
      </c>
      <c r="C186" s="4" t="s">
        <v>10</v>
      </c>
      <c r="D186" s="4" t="str">
        <f t="shared" si="1"/>
        <v>Safety Stock</v>
      </c>
      <c r="E186" s="4">
        <f t="shared" si="2"/>
        <v>182.4</v>
      </c>
      <c r="F186" s="4">
        <f t="shared" si="3"/>
        <v>131.7333333</v>
      </c>
      <c r="G186" s="4">
        <f t="shared" si="4"/>
        <v>182</v>
      </c>
      <c r="H186" s="4" t="str">
        <f t="shared" si="5"/>
        <v>Binh thuong</v>
      </c>
    </row>
    <row r="187" ht="14.25" customHeight="1">
      <c r="A187" s="4" t="s">
        <v>202</v>
      </c>
      <c r="B187" s="4">
        <v>3440.0</v>
      </c>
      <c r="C187" s="4" t="s">
        <v>10</v>
      </c>
      <c r="D187" s="4" t="str">
        <f t="shared" si="1"/>
        <v>Safety Stock</v>
      </c>
      <c r="E187" s="4">
        <f t="shared" si="2"/>
        <v>1376</v>
      </c>
      <c r="F187" s="4">
        <f t="shared" si="3"/>
        <v>993.7777778</v>
      </c>
      <c r="G187" s="4">
        <f t="shared" si="4"/>
        <v>1376</v>
      </c>
      <c r="H187" s="4" t="str">
        <f t="shared" si="5"/>
        <v>Binh thuong</v>
      </c>
    </row>
    <row r="188" ht="14.25" customHeight="1">
      <c r="A188" s="4" t="s">
        <v>203</v>
      </c>
      <c r="B188" s="4">
        <v>48.0</v>
      </c>
      <c r="C188" s="4" t="s">
        <v>10</v>
      </c>
      <c r="D188" s="4" t="str">
        <f t="shared" si="1"/>
        <v>Safety Stock</v>
      </c>
      <c r="E188" s="4">
        <f t="shared" si="2"/>
        <v>19.2</v>
      </c>
      <c r="F188" s="4">
        <f t="shared" si="3"/>
        <v>13.86666667</v>
      </c>
      <c r="G188" s="4">
        <f t="shared" si="4"/>
        <v>19</v>
      </c>
      <c r="H188" s="4" t="str">
        <f t="shared" si="5"/>
        <v>Binh thuong</v>
      </c>
    </row>
    <row r="189" ht="14.25" customHeight="1">
      <c r="A189" s="4" t="s">
        <v>204</v>
      </c>
      <c r="B189" s="4">
        <v>1016.0</v>
      </c>
      <c r="C189" s="4" t="s">
        <v>10</v>
      </c>
      <c r="D189" s="4" t="str">
        <f t="shared" si="1"/>
        <v>Safety Stock</v>
      </c>
      <c r="E189" s="4">
        <f t="shared" si="2"/>
        <v>406.4</v>
      </c>
      <c r="F189" s="4">
        <f t="shared" si="3"/>
        <v>293.5111111</v>
      </c>
      <c r="G189" s="4">
        <f t="shared" si="4"/>
        <v>406</v>
      </c>
      <c r="H189" s="4" t="str">
        <f t="shared" si="5"/>
        <v>Binh thuong</v>
      </c>
    </row>
    <row r="190" ht="14.25" customHeight="1">
      <c r="A190" s="4" t="s">
        <v>205</v>
      </c>
      <c r="B190" s="4">
        <v>3464.0</v>
      </c>
      <c r="C190" s="4" t="s">
        <v>10</v>
      </c>
      <c r="D190" s="4" t="str">
        <f t="shared" si="1"/>
        <v>Safety Stock</v>
      </c>
      <c r="E190" s="4">
        <f t="shared" si="2"/>
        <v>1385.6</v>
      </c>
      <c r="F190" s="4">
        <f t="shared" si="3"/>
        <v>1000.711111</v>
      </c>
      <c r="G190" s="4">
        <f t="shared" si="4"/>
        <v>1386</v>
      </c>
      <c r="H190" s="4" t="str">
        <f t="shared" si="5"/>
        <v>Binh thuong</v>
      </c>
    </row>
    <row r="191" ht="14.25" customHeight="1">
      <c r="A191" s="4" t="s">
        <v>206</v>
      </c>
      <c r="B191" s="4">
        <v>48.0</v>
      </c>
      <c r="C191" s="4" t="s">
        <v>10</v>
      </c>
      <c r="D191" s="4" t="str">
        <f t="shared" si="1"/>
        <v>Safety Stock</v>
      </c>
      <c r="E191" s="4">
        <f t="shared" si="2"/>
        <v>19.2</v>
      </c>
      <c r="F191" s="4">
        <f t="shared" si="3"/>
        <v>13.86666667</v>
      </c>
      <c r="G191" s="4">
        <f t="shared" si="4"/>
        <v>19</v>
      </c>
      <c r="H191" s="4" t="str">
        <f t="shared" si="5"/>
        <v>Binh thuong</v>
      </c>
    </row>
    <row r="192" ht="14.25" customHeight="1">
      <c r="A192" s="4" t="s">
        <v>207</v>
      </c>
      <c r="B192" s="4">
        <v>1072.0</v>
      </c>
      <c r="C192" s="4" t="s">
        <v>10</v>
      </c>
      <c r="D192" s="4" t="str">
        <f t="shared" si="1"/>
        <v>Safety Stock</v>
      </c>
      <c r="E192" s="4">
        <f t="shared" si="2"/>
        <v>428.8</v>
      </c>
      <c r="F192" s="4">
        <f t="shared" si="3"/>
        <v>309.6888889</v>
      </c>
      <c r="G192" s="4">
        <f t="shared" si="4"/>
        <v>429</v>
      </c>
      <c r="H192" s="4" t="str">
        <f t="shared" si="5"/>
        <v>Binh thuong</v>
      </c>
    </row>
    <row r="193" ht="14.25" customHeight="1">
      <c r="A193" s="4" t="s">
        <v>208</v>
      </c>
      <c r="B193" s="4">
        <v>2480.0</v>
      </c>
      <c r="C193" s="4" t="s">
        <v>10</v>
      </c>
      <c r="D193" s="4" t="str">
        <f t="shared" si="1"/>
        <v>Safety Stock</v>
      </c>
      <c r="E193" s="4">
        <f t="shared" si="2"/>
        <v>992</v>
      </c>
      <c r="F193" s="4">
        <f t="shared" si="3"/>
        <v>716.4444444</v>
      </c>
      <c r="G193" s="4">
        <f t="shared" si="4"/>
        <v>992</v>
      </c>
      <c r="H193" s="4" t="str">
        <f t="shared" si="5"/>
        <v>Binh thuong</v>
      </c>
    </row>
    <row r="194" ht="14.25" customHeight="1">
      <c r="A194" s="4" t="s">
        <v>209</v>
      </c>
      <c r="B194" s="4">
        <v>32.0</v>
      </c>
      <c r="C194" s="4" t="s">
        <v>10</v>
      </c>
      <c r="D194" s="4" t="str">
        <f t="shared" si="1"/>
        <v>Safety Stock</v>
      </c>
      <c r="E194" s="4">
        <f t="shared" si="2"/>
        <v>12.8</v>
      </c>
      <c r="F194" s="4">
        <f t="shared" si="3"/>
        <v>9.244444444</v>
      </c>
      <c r="G194" s="4">
        <f t="shared" si="4"/>
        <v>13</v>
      </c>
      <c r="H194" s="4" t="str">
        <f t="shared" si="5"/>
        <v>Binh thuong</v>
      </c>
    </row>
    <row r="195" ht="14.25" customHeight="1">
      <c r="A195" s="4" t="s">
        <v>210</v>
      </c>
      <c r="B195" s="4">
        <v>1256.0</v>
      </c>
      <c r="C195" s="4" t="s">
        <v>10</v>
      </c>
      <c r="D195" s="4" t="str">
        <f t="shared" si="1"/>
        <v>Safety Stock</v>
      </c>
      <c r="E195" s="4">
        <f t="shared" si="2"/>
        <v>502.4</v>
      </c>
      <c r="F195" s="4">
        <f t="shared" si="3"/>
        <v>362.8444444</v>
      </c>
      <c r="G195" s="4">
        <f t="shared" si="4"/>
        <v>502</v>
      </c>
      <c r="H195" s="4" t="str">
        <f t="shared" si="5"/>
        <v>Binh thuong</v>
      </c>
    </row>
    <row r="196" ht="14.25" customHeight="1">
      <c r="A196" s="4" t="s">
        <v>211</v>
      </c>
      <c r="B196" s="4">
        <v>952.0</v>
      </c>
      <c r="C196" s="4" t="s">
        <v>10</v>
      </c>
      <c r="D196" s="4" t="str">
        <f t="shared" si="1"/>
        <v>Safety Stock</v>
      </c>
      <c r="E196" s="4">
        <f t="shared" si="2"/>
        <v>380.8</v>
      </c>
      <c r="F196" s="4">
        <f t="shared" si="3"/>
        <v>275.0222222</v>
      </c>
      <c r="G196" s="4">
        <f t="shared" si="4"/>
        <v>381</v>
      </c>
      <c r="H196" s="4" t="str">
        <f t="shared" si="5"/>
        <v>Binh thuong</v>
      </c>
    </row>
    <row r="197" ht="14.25" customHeight="1">
      <c r="A197" s="4" t="s">
        <v>212</v>
      </c>
      <c r="B197" s="4">
        <v>48.0</v>
      </c>
      <c r="C197" s="4" t="s">
        <v>10</v>
      </c>
      <c r="D197" s="4" t="str">
        <f t="shared" si="1"/>
        <v>Safety Stock</v>
      </c>
      <c r="E197" s="4">
        <f t="shared" si="2"/>
        <v>19.2</v>
      </c>
      <c r="F197" s="4">
        <f t="shared" si="3"/>
        <v>13.86666667</v>
      </c>
      <c r="G197" s="4">
        <f t="shared" si="4"/>
        <v>19</v>
      </c>
      <c r="H197" s="4" t="str">
        <f t="shared" si="5"/>
        <v>Binh thuong</v>
      </c>
    </row>
    <row r="198" ht="14.25" customHeight="1">
      <c r="A198" s="4" t="s">
        <v>213</v>
      </c>
      <c r="B198" s="4">
        <v>640.0</v>
      </c>
      <c r="C198" s="4" t="s">
        <v>10</v>
      </c>
      <c r="D198" s="4" t="str">
        <f t="shared" si="1"/>
        <v>Safety Stock</v>
      </c>
      <c r="E198" s="4">
        <f t="shared" si="2"/>
        <v>256</v>
      </c>
      <c r="F198" s="4">
        <f t="shared" si="3"/>
        <v>184.8888889</v>
      </c>
      <c r="G198" s="4">
        <f t="shared" si="4"/>
        <v>256</v>
      </c>
      <c r="H198" s="4" t="str">
        <f t="shared" si="5"/>
        <v>Binh thuong</v>
      </c>
    </row>
    <row r="199" ht="14.25" customHeight="1">
      <c r="A199" s="4" t="s">
        <v>214</v>
      </c>
      <c r="B199" s="4">
        <v>1040.0</v>
      </c>
      <c r="C199" s="4" t="s">
        <v>10</v>
      </c>
      <c r="D199" s="4" t="str">
        <f t="shared" si="1"/>
        <v>Safety Stock</v>
      </c>
      <c r="E199" s="4">
        <f t="shared" si="2"/>
        <v>416</v>
      </c>
      <c r="F199" s="4">
        <f t="shared" si="3"/>
        <v>300.4444444</v>
      </c>
      <c r="G199" s="4">
        <f t="shared" si="4"/>
        <v>416</v>
      </c>
      <c r="H199" s="4" t="str">
        <f t="shared" si="5"/>
        <v>Binh thuong</v>
      </c>
    </row>
    <row r="200" ht="14.25" customHeight="1">
      <c r="A200" s="4" t="s">
        <v>215</v>
      </c>
      <c r="B200" s="4">
        <v>56.0</v>
      </c>
      <c r="C200" s="4" t="s">
        <v>10</v>
      </c>
      <c r="D200" s="4" t="str">
        <f t="shared" si="1"/>
        <v>Safety Stock</v>
      </c>
      <c r="E200" s="4">
        <f t="shared" si="2"/>
        <v>22.4</v>
      </c>
      <c r="F200" s="4">
        <f t="shared" si="3"/>
        <v>16.17777778</v>
      </c>
      <c r="G200" s="4">
        <f t="shared" si="4"/>
        <v>22</v>
      </c>
      <c r="H200" s="4" t="str">
        <f t="shared" si="5"/>
        <v>Binh thuong</v>
      </c>
    </row>
    <row r="201" ht="14.25" customHeight="1">
      <c r="A201" s="4" t="s">
        <v>216</v>
      </c>
      <c r="B201" s="4">
        <v>152.0</v>
      </c>
      <c r="C201" s="4" t="s">
        <v>10</v>
      </c>
      <c r="D201" s="4" t="str">
        <f t="shared" si="1"/>
        <v>Safety Stock</v>
      </c>
      <c r="E201" s="4">
        <f t="shared" si="2"/>
        <v>60.8</v>
      </c>
      <c r="F201" s="4">
        <f t="shared" si="3"/>
        <v>43.91111111</v>
      </c>
      <c r="G201" s="4">
        <f t="shared" si="4"/>
        <v>61</v>
      </c>
      <c r="H201" s="4" t="str">
        <f t="shared" si="5"/>
        <v>Binh thuong</v>
      </c>
    </row>
    <row r="202" ht="14.25" customHeight="1">
      <c r="A202" s="4" t="s">
        <v>217</v>
      </c>
      <c r="B202" s="4">
        <v>2888.0</v>
      </c>
      <c r="C202" s="4" t="s">
        <v>10</v>
      </c>
      <c r="D202" s="4" t="str">
        <f t="shared" si="1"/>
        <v>Safety Stock</v>
      </c>
      <c r="E202" s="4">
        <f t="shared" si="2"/>
        <v>1155.2</v>
      </c>
      <c r="F202" s="4">
        <f t="shared" si="3"/>
        <v>834.3111111</v>
      </c>
      <c r="G202" s="4">
        <f t="shared" si="4"/>
        <v>1155</v>
      </c>
      <c r="H202" s="4" t="str">
        <f t="shared" si="5"/>
        <v>Binh thuong</v>
      </c>
    </row>
    <row r="203" ht="14.25" customHeight="1">
      <c r="A203" s="4" t="s">
        <v>218</v>
      </c>
      <c r="B203" s="4">
        <v>160.0</v>
      </c>
      <c r="C203" s="4" t="s">
        <v>10</v>
      </c>
      <c r="D203" s="4" t="str">
        <f t="shared" si="1"/>
        <v>Safety Stock</v>
      </c>
      <c r="E203" s="4">
        <f t="shared" si="2"/>
        <v>64</v>
      </c>
      <c r="F203" s="4">
        <f t="shared" si="3"/>
        <v>46.22222222</v>
      </c>
      <c r="G203" s="4">
        <f t="shared" si="4"/>
        <v>64</v>
      </c>
      <c r="H203" s="4" t="str">
        <f t="shared" si="5"/>
        <v>Binh thuong</v>
      </c>
    </row>
    <row r="204" ht="14.25" customHeight="1">
      <c r="A204" s="4" t="s">
        <v>219</v>
      </c>
      <c r="B204" s="4">
        <v>3552.0</v>
      </c>
      <c r="C204" s="4" t="s">
        <v>10</v>
      </c>
      <c r="D204" s="4" t="str">
        <f t="shared" si="1"/>
        <v>Safety Stock</v>
      </c>
      <c r="E204" s="4">
        <f t="shared" si="2"/>
        <v>1420.8</v>
      </c>
      <c r="F204" s="4">
        <f t="shared" si="3"/>
        <v>1026.133333</v>
      </c>
      <c r="G204" s="4">
        <f t="shared" si="4"/>
        <v>1421</v>
      </c>
      <c r="H204" s="4" t="str">
        <f t="shared" si="5"/>
        <v>Binh thuong</v>
      </c>
    </row>
    <row r="205" ht="14.25" customHeight="1">
      <c r="A205" s="4" t="s">
        <v>220</v>
      </c>
      <c r="B205" s="4">
        <v>160.0</v>
      </c>
      <c r="C205" s="4" t="s">
        <v>10</v>
      </c>
      <c r="D205" s="4" t="str">
        <f t="shared" si="1"/>
        <v>Safety Stock</v>
      </c>
      <c r="E205" s="4">
        <f t="shared" si="2"/>
        <v>64</v>
      </c>
      <c r="F205" s="4">
        <f t="shared" si="3"/>
        <v>46.22222222</v>
      </c>
      <c r="G205" s="4">
        <f t="shared" si="4"/>
        <v>64</v>
      </c>
      <c r="H205" s="4" t="str">
        <f t="shared" si="5"/>
        <v>Binh thuong</v>
      </c>
    </row>
    <row r="206" ht="14.25" customHeight="1">
      <c r="A206" s="4" t="s">
        <v>221</v>
      </c>
      <c r="B206" s="4">
        <v>528.0</v>
      </c>
      <c r="C206" s="4" t="s">
        <v>10</v>
      </c>
      <c r="D206" s="4" t="str">
        <f t="shared" si="1"/>
        <v>Safety Stock</v>
      </c>
      <c r="E206" s="4">
        <f t="shared" si="2"/>
        <v>211.2</v>
      </c>
      <c r="F206" s="4">
        <f t="shared" si="3"/>
        <v>152.5333333</v>
      </c>
      <c r="G206" s="4">
        <f t="shared" si="4"/>
        <v>211</v>
      </c>
      <c r="H206" s="4" t="str">
        <f t="shared" si="5"/>
        <v>Binh thuong</v>
      </c>
    </row>
    <row r="207" ht="14.25" customHeight="1">
      <c r="A207" s="4" t="s">
        <v>222</v>
      </c>
      <c r="B207" s="4">
        <v>144.0</v>
      </c>
      <c r="C207" s="4" t="s">
        <v>10</v>
      </c>
      <c r="D207" s="4" t="str">
        <f t="shared" si="1"/>
        <v>Safety Stock</v>
      </c>
      <c r="E207" s="4">
        <f t="shared" si="2"/>
        <v>57.6</v>
      </c>
      <c r="F207" s="4">
        <f t="shared" si="3"/>
        <v>41.6</v>
      </c>
      <c r="G207" s="4">
        <f t="shared" si="4"/>
        <v>58</v>
      </c>
      <c r="H207" s="4" t="str">
        <f t="shared" si="5"/>
        <v>Binh thuong</v>
      </c>
    </row>
    <row r="208" ht="14.25" customHeight="1">
      <c r="A208" s="4" t="s">
        <v>223</v>
      </c>
      <c r="B208" s="4">
        <v>480.0</v>
      </c>
      <c r="C208" s="4" t="s">
        <v>10</v>
      </c>
      <c r="D208" s="4" t="str">
        <f t="shared" si="1"/>
        <v>Safety Stock</v>
      </c>
      <c r="E208" s="4">
        <f t="shared" si="2"/>
        <v>192</v>
      </c>
      <c r="F208" s="4">
        <f t="shared" si="3"/>
        <v>138.6666667</v>
      </c>
      <c r="G208" s="4">
        <f t="shared" si="4"/>
        <v>192</v>
      </c>
      <c r="H208" s="4" t="str">
        <f t="shared" si="5"/>
        <v>Binh thuong</v>
      </c>
    </row>
    <row r="209" ht="14.25" customHeight="1">
      <c r="A209" s="4" t="s">
        <v>224</v>
      </c>
      <c r="B209" s="4">
        <v>744.0</v>
      </c>
      <c r="C209" s="4" t="s">
        <v>10</v>
      </c>
      <c r="D209" s="4" t="str">
        <f t="shared" si="1"/>
        <v>Safety Stock</v>
      </c>
      <c r="E209" s="4">
        <f t="shared" si="2"/>
        <v>297.6</v>
      </c>
      <c r="F209" s="4">
        <f t="shared" si="3"/>
        <v>214.9333333</v>
      </c>
      <c r="G209" s="4">
        <f t="shared" si="4"/>
        <v>298</v>
      </c>
      <c r="H209" s="4" t="str">
        <f t="shared" si="5"/>
        <v>Binh thuong</v>
      </c>
    </row>
    <row r="210" ht="14.25" customHeight="1">
      <c r="A210" s="4" t="s">
        <v>225</v>
      </c>
      <c r="B210" s="4">
        <v>576.0</v>
      </c>
      <c r="C210" s="4" t="s">
        <v>10</v>
      </c>
      <c r="D210" s="4" t="str">
        <f t="shared" si="1"/>
        <v>Safety Stock</v>
      </c>
      <c r="E210" s="4">
        <f t="shared" si="2"/>
        <v>230.4</v>
      </c>
      <c r="F210" s="4">
        <f t="shared" si="3"/>
        <v>166.4</v>
      </c>
      <c r="G210" s="4">
        <f t="shared" si="4"/>
        <v>230</v>
      </c>
      <c r="H210" s="4" t="str">
        <f t="shared" si="5"/>
        <v>Binh thuong</v>
      </c>
    </row>
    <row r="211" ht="14.25" customHeight="1">
      <c r="A211" s="4" t="s">
        <v>226</v>
      </c>
      <c r="B211" s="4">
        <v>954.0</v>
      </c>
      <c r="C211" s="4" t="s">
        <v>10</v>
      </c>
      <c r="D211" s="4" t="str">
        <f t="shared" si="1"/>
        <v>Safety Stock</v>
      </c>
      <c r="E211" s="4">
        <f t="shared" si="2"/>
        <v>381.6</v>
      </c>
      <c r="F211" s="4">
        <f t="shared" si="3"/>
        <v>275.6</v>
      </c>
      <c r="G211" s="4">
        <f t="shared" si="4"/>
        <v>382</v>
      </c>
      <c r="H211" s="4" t="str">
        <f t="shared" si="5"/>
        <v>Binh thuong</v>
      </c>
    </row>
    <row r="212" ht="14.25" customHeight="1">
      <c r="A212" s="4" t="s">
        <v>227</v>
      </c>
      <c r="B212" s="4">
        <v>2192.0</v>
      </c>
      <c r="C212" s="4" t="s">
        <v>10</v>
      </c>
      <c r="D212" s="4" t="str">
        <f t="shared" si="1"/>
        <v>Safety Stock</v>
      </c>
      <c r="E212" s="4">
        <f t="shared" si="2"/>
        <v>876.8</v>
      </c>
      <c r="F212" s="4">
        <f t="shared" si="3"/>
        <v>633.2444444</v>
      </c>
      <c r="G212" s="4">
        <f t="shared" si="4"/>
        <v>877</v>
      </c>
      <c r="H212" s="4" t="str">
        <f t="shared" si="5"/>
        <v>Binh thuong</v>
      </c>
    </row>
    <row r="213" ht="14.25" customHeight="1">
      <c r="A213" s="4" t="s">
        <v>228</v>
      </c>
      <c r="B213" s="4">
        <v>2688.0</v>
      </c>
      <c r="C213" s="4" t="s">
        <v>10</v>
      </c>
      <c r="D213" s="4" t="str">
        <f t="shared" si="1"/>
        <v>Safety Stock</v>
      </c>
      <c r="E213" s="4">
        <f t="shared" si="2"/>
        <v>1075.2</v>
      </c>
      <c r="F213" s="4">
        <f t="shared" si="3"/>
        <v>776.5333333</v>
      </c>
      <c r="G213" s="4">
        <f t="shared" si="4"/>
        <v>1075</v>
      </c>
      <c r="H213" s="4" t="str">
        <f t="shared" si="5"/>
        <v>Binh thuong</v>
      </c>
    </row>
    <row r="214" ht="14.25" customHeight="1">
      <c r="A214" s="4" t="s">
        <v>229</v>
      </c>
      <c r="B214" s="4">
        <v>4372.0</v>
      </c>
      <c r="C214" s="4" t="s">
        <v>10</v>
      </c>
      <c r="D214" s="4" t="str">
        <f t="shared" si="1"/>
        <v>Safety Stock</v>
      </c>
      <c r="E214" s="4">
        <f t="shared" si="2"/>
        <v>1748.8</v>
      </c>
      <c r="F214" s="4">
        <f t="shared" si="3"/>
        <v>1263.022222</v>
      </c>
      <c r="G214" s="4">
        <f t="shared" si="4"/>
        <v>1749</v>
      </c>
      <c r="H214" s="4" t="str">
        <f t="shared" si="5"/>
        <v>Binh thuong</v>
      </c>
    </row>
    <row r="215" ht="14.25" customHeight="1">
      <c r="A215" s="4" t="s">
        <v>230</v>
      </c>
      <c r="B215" s="4">
        <v>6260.0</v>
      </c>
      <c r="C215" s="4" t="s">
        <v>10</v>
      </c>
      <c r="D215" s="4" t="str">
        <f t="shared" si="1"/>
        <v>Safety Stock</v>
      </c>
      <c r="E215" s="4">
        <f t="shared" si="2"/>
        <v>2504</v>
      </c>
      <c r="F215" s="4">
        <f t="shared" si="3"/>
        <v>1808.444444</v>
      </c>
      <c r="G215" s="4">
        <f t="shared" si="4"/>
        <v>2504</v>
      </c>
      <c r="H215" s="4" t="str">
        <f t="shared" si="5"/>
        <v>Binh thuong</v>
      </c>
    </row>
    <row r="216" ht="14.25" customHeight="1">
      <c r="A216" s="4" t="s">
        <v>231</v>
      </c>
      <c r="B216" s="4">
        <v>2448.0</v>
      </c>
      <c r="C216" s="4" t="s">
        <v>10</v>
      </c>
      <c r="D216" s="4" t="str">
        <f t="shared" si="1"/>
        <v>Safety Stock</v>
      </c>
      <c r="E216" s="4">
        <f t="shared" si="2"/>
        <v>979.2</v>
      </c>
      <c r="F216" s="4">
        <f t="shared" si="3"/>
        <v>707.2</v>
      </c>
      <c r="G216" s="4">
        <f t="shared" si="4"/>
        <v>979</v>
      </c>
      <c r="H216" s="4" t="str">
        <f t="shared" si="5"/>
        <v>Binh thuong</v>
      </c>
    </row>
    <row r="217" ht="14.25" customHeight="1">
      <c r="A217" s="4" t="s">
        <v>232</v>
      </c>
      <c r="B217" s="4">
        <v>1116.0</v>
      </c>
      <c r="C217" s="4" t="s">
        <v>10</v>
      </c>
      <c r="D217" s="4" t="str">
        <f t="shared" si="1"/>
        <v>Safety Stock</v>
      </c>
      <c r="E217" s="4">
        <f t="shared" si="2"/>
        <v>446.4</v>
      </c>
      <c r="F217" s="4">
        <f t="shared" si="3"/>
        <v>322.4</v>
      </c>
      <c r="G217" s="4">
        <f t="shared" si="4"/>
        <v>446</v>
      </c>
      <c r="H217" s="4" t="str">
        <f t="shared" si="5"/>
        <v>Binh thuong</v>
      </c>
    </row>
    <row r="218" ht="14.25" customHeight="1">
      <c r="A218" s="4" t="s">
        <v>233</v>
      </c>
      <c r="B218" s="4">
        <v>552.0</v>
      </c>
      <c r="C218" s="4" t="s">
        <v>10</v>
      </c>
      <c r="D218" s="4" t="str">
        <f t="shared" si="1"/>
        <v>Safety Stock</v>
      </c>
      <c r="E218" s="4">
        <f t="shared" si="2"/>
        <v>220.8</v>
      </c>
      <c r="F218" s="4">
        <f t="shared" si="3"/>
        <v>159.4666667</v>
      </c>
      <c r="G218" s="4">
        <f t="shared" si="4"/>
        <v>221</v>
      </c>
      <c r="H218" s="4" t="str">
        <f t="shared" si="5"/>
        <v>Binh thuong</v>
      </c>
    </row>
    <row r="219" ht="14.25" customHeight="1">
      <c r="A219" s="4" t="s">
        <v>234</v>
      </c>
      <c r="B219" s="4">
        <v>448.0</v>
      </c>
      <c r="C219" s="4" t="s">
        <v>10</v>
      </c>
      <c r="D219" s="4" t="str">
        <f t="shared" si="1"/>
        <v>Safety Stock</v>
      </c>
      <c r="E219" s="4">
        <f t="shared" si="2"/>
        <v>179.2</v>
      </c>
      <c r="F219" s="4">
        <f t="shared" si="3"/>
        <v>129.4222222</v>
      </c>
      <c r="G219" s="4">
        <f t="shared" si="4"/>
        <v>179</v>
      </c>
      <c r="H219" s="4" t="str">
        <f t="shared" si="5"/>
        <v>Binh thuong</v>
      </c>
    </row>
    <row r="220" ht="14.25" customHeight="1">
      <c r="A220" s="4" t="s">
        <v>235</v>
      </c>
      <c r="B220" s="4">
        <v>2104.0</v>
      </c>
      <c r="C220" s="4" t="s">
        <v>10</v>
      </c>
      <c r="D220" s="4" t="str">
        <f t="shared" si="1"/>
        <v>Safety Stock</v>
      </c>
      <c r="E220" s="4">
        <f t="shared" si="2"/>
        <v>841.6</v>
      </c>
      <c r="F220" s="4">
        <f t="shared" si="3"/>
        <v>607.8222222</v>
      </c>
      <c r="G220" s="4">
        <f t="shared" si="4"/>
        <v>842</v>
      </c>
      <c r="H220" s="4" t="str">
        <f t="shared" si="5"/>
        <v>Binh thuong</v>
      </c>
    </row>
    <row r="221" ht="14.25" customHeight="1">
      <c r="A221" s="4" t="s">
        <v>236</v>
      </c>
      <c r="B221" s="4">
        <v>2864.0</v>
      </c>
      <c r="C221" s="4" t="s">
        <v>10</v>
      </c>
      <c r="D221" s="4" t="str">
        <f t="shared" si="1"/>
        <v>Safety Stock</v>
      </c>
      <c r="E221" s="4">
        <f t="shared" si="2"/>
        <v>1145.6</v>
      </c>
      <c r="F221" s="4">
        <f t="shared" si="3"/>
        <v>827.3777778</v>
      </c>
      <c r="G221" s="4">
        <f t="shared" si="4"/>
        <v>1146</v>
      </c>
      <c r="H221" s="4" t="str">
        <f t="shared" si="5"/>
        <v>Binh thuong</v>
      </c>
    </row>
    <row r="222" ht="14.25" customHeight="1">
      <c r="A222" s="4" t="s">
        <v>237</v>
      </c>
      <c r="B222" s="4">
        <v>1292.0</v>
      </c>
      <c r="C222" s="4" t="s">
        <v>10</v>
      </c>
      <c r="D222" s="4" t="str">
        <f t="shared" si="1"/>
        <v>Safety Stock</v>
      </c>
      <c r="E222" s="4">
        <f t="shared" si="2"/>
        <v>516.8</v>
      </c>
      <c r="F222" s="4">
        <f t="shared" si="3"/>
        <v>373.2444444</v>
      </c>
      <c r="G222" s="4">
        <f t="shared" si="4"/>
        <v>517</v>
      </c>
      <c r="H222" s="4" t="str">
        <f t="shared" si="5"/>
        <v>Binh thuong</v>
      </c>
    </row>
    <row r="223" ht="14.25" customHeight="1">
      <c r="A223" s="4" t="s">
        <v>238</v>
      </c>
      <c r="B223" s="4">
        <v>53.0</v>
      </c>
      <c r="C223" s="4" t="s">
        <v>10</v>
      </c>
      <c r="D223" s="4" t="str">
        <f t="shared" si="1"/>
        <v>Safety Stock</v>
      </c>
      <c r="E223" s="4">
        <f t="shared" si="2"/>
        <v>21.2</v>
      </c>
      <c r="F223" s="4">
        <f t="shared" si="3"/>
        <v>15.31111111</v>
      </c>
      <c r="G223" s="4">
        <f t="shared" si="4"/>
        <v>21</v>
      </c>
      <c r="H223" s="4" t="str">
        <f t="shared" si="5"/>
        <v>Binh thuong</v>
      </c>
    </row>
    <row r="224" ht="14.25" customHeight="1">
      <c r="A224" s="4" t="s">
        <v>239</v>
      </c>
      <c r="B224" s="4">
        <v>709.0</v>
      </c>
      <c r="C224" s="4" t="s">
        <v>10</v>
      </c>
      <c r="D224" s="4" t="str">
        <f t="shared" si="1"/>
        <v>Safety Stock</v>
      </c>
      <c r="E224" s="4">
        <f t="shared" si="2"/>
        <v>283.6</v>
      </c>
      <c r="F224" s="4">
        <f t="shared" si="3"/>
        <v>204.8222222</v>
      </c>
      <c r="G224" s="4">
        <f t="shared" si="4"/>
        <v>284</v>
      </c>
      <c r="H224" s="4" t="str">
        <f t="shared" si="5"/>
        <v>Binh thuong</v>
      </c>
    </row>
    <row r="225" ht="14.25" customHeight="1">
      <c r="A225" s="4" t="s">
        <v>240</v>
      </c>
      <c r="B225" s="4">
        <v>121.0</v>
      </c>
      <c r="C225" s="4" t="s">
        <v>10</v>
      </c>
      <c r="D225" s="4" t="str">
        <f t="shared" si="1"/>
        <v>Safety Stock</v>
      </c>
      <c r="E225" s="4">
        <f t="shared" si="2"/>
        <v>48.4</v>
      </c>
      <c r="F225" s="4">
        <f t="shared" si="3"/>
        <v>34.95555556</v>
      </c>
      <c r="G225" s="4">
        <f t="shared" si="4"/>
        <v>48</v>
      </c>
      <c r="H225" s="4" t="str">
        <f t="shared" si="5"/>
        <v>Binh thuong</v>
      </c>
    </row>
    <row r="226" ht="14.25" customHeight="1">
      <c r="A226" s="4" t="s">
        <v>241</v>
      </c>
      <c r="B226" s="4">
        <v>121.0</v>
      </c>
      <c r="C226" s="4" t="s">
        <v>10</v>
      </c>
      <c r="D226" s="4" t="str">
        <f t="shared" si="1"/>
        <v>Safety Stock</v>
      </c>
      <c r="E226" s="4">
        <f t="shared" si="2"/>
        <v>48.4</v>
      </c>
      <c r="F226" s="4">
        <f t="shared" si="3"/>
        <v>34.95555556</v>
      </c>
      <c r="G226" s="4">
        <f t="shared" si="4"/>
        <v>48</v>
      </c>
      <c r="H226" s="4" t="str">
        <f t="shared" si="5"/>
        <v>Binh thuong</v>
      </c>
    </row>
    <row r="227" ht="14.25" customHeight="1">
      <c r="A227" s="4" t="s">
        <v>242</v>
      </c>
      <c r="B227" s="4">
        <v>361.0</v>
      </c>
      <c r="C227" s="4" t="s">
        <v>10</v>
      </c>
      <c r="D227" s="4" t="str">
        <f t="shared" si="1"/>
        <v>Safety Stock</v>
      </c>
      <c r="E227" s="4">
        <f t="shared" si="2"/>
        <v>144.4</v>
      </c>
      <c r="F227" s="4">
        <f t="shared" si="3"/>
        <v>104.2888889</v>
      </c>
      <c r="G227" s="4">
        <f t="shared" si="4"/>
        <v>144</v>
      </c>
      <c r="H227" s="4" t="str">
        <f t="shared" si="5"/>
        <v>Binh thuong</v>
      </c>
    </row>
    <row r="228" ht="14.25" customHeight="1">
      <c r="A228" s="4" t="s">
        <v>243</v>
      </c>
      <c r="B228" s="4">
        <v>121.0</v>
      </c>
      <c r="C228" s="4" t="s">
        <v>10</v>
      </c>
      <c r="D228" s="4" t="str">
        <f t="shared" si="1"/>
        <v>Safety Stock</v>
      </c>
      <c r="E228" s="4">
        <f t="shared" si="2"/>
        <v>48.4</v>
      </c>
      <c r="F228" s="4">
        <f t="shared" si="3"/>
        <v>34.95555556</v>
      </c>
      <c r="G228" s="4">
        <f t="shared" si="4"/>
        <v>48</v>
      </c>
      <c r="H228" s="4" t="str">
        <f t="shared" si="5"/>
        <v>Binh thuong</v>
      </c>
    </row>
    <row r="229" ht="14.25" customHeight="1">
      <c r="A229" s="4" t="s">
        <v>244</v>
      </c>
      <c r="B229" s="4">
        <v>487.0</v>
      </c>
      <c r="C229" s="4" t="s">
        <v>10</v>
      </c>
      <c r="D229" s="4" t="str">
        <f t="shared" si="1"/>
        <v>Safety Stock</v>
      </c>
      <c r="E229" s="4">
        <f t="shared" si="2"/>
        <v>194.8</v>
      </c>
      <c r="F229" s="4">
        <f t="shared" si="3"/>
        <v>140.6888889</v>
      </c>
      <c r="G229" s="4">
        <f t="shared" si="4"/>
        <v>195</v>
      </c>
      <c r="H229" s="4" t="str">
        <f t="shared" si="5"/>
        <v>Binh thuong</v>
      </c>
    </row>
    <row r="230" ht="14.25" customHeight="1">
      <c r="A230" s="4" t="s">
        <v>245</v>
      </c>
      <c r="B230" s="4">
        <v>132.0</v>
      </c>
      <c r="C230" s="4" t="s">
        <v>10</v>
      </c>
      <c r="D230" s="4" t="str">
        <f t="shared" si="1"/>
        <v>Safety Stock</v>
      </c>
      <c r="E230" s="4">
        <f t="shared" si="2"/>
        <v>52.8</v>
      </c>
      <c r="F230" s="4">
        <f t="shared" si="3"/>
        <v>38.13333333</v>
      </c>
      <c r="G230" s="4">
        <f t="shared" si="4"/>
        <v>53</v>
      </c>
      <c r="H230" s="4" t="str">
        <f t="shared" si="5"/>
        <v>Binh thuong</v>
      </c>
    </row>
    <row r="231" ht="14.25" customHeight="1">
      <c r="A231" s="4" t="s">
        <v>246</v>
      </c>
      <c r="B231" s="4">
        <v>908.0</v>
      </c>
      <c r="C231" s="4" t="s">
        <v>10</v>
      </c>
      <c r="D231" s="4" t="str">
        <f t="shared" si="1"/>
        <v>Safety Stock</v>
      </c>
      <c r="E231" s="4">
        <f t="shared" si="2"/>
        <v>363.2</v>
      </c>
      <c r="F231" s="4">
        <f t="shared" si="3"/>
        <v>262.3111111</v>
      </c>
      <c r="G231" s="4">
        <f t="shared" si="4"/>
        <v>363</v>
      </c>
      <c r="H231" s="4" t="str">
        <f t="shared" si="5"/>
        <v>Binh thuong</v>
      </c>
    </row>
    <row r="232" ht="14.25" customHeight="1">
      <c r="A232" s="4" t="s">
        <v>247</v>
      </c>
      <c r="B232" s="4">
        <v>12.0</v>
      </c>
      <c r="C232" s="4" t="s">
        <v>10</v>
      </c>
      <c r="D232" s="4" t="str">
        <f t="shared" si="1"/>
        <v>Safety Stock</v>
      </c>
      <c r="E232" s="4">
        <f t="shared" si="2"/>
        <v>4.8</v>
      </c>
      <c r="F232" s="4">
        <f t="shared" si="3"/>
        <v>3.466666667</v>
      </c>
      <c r="G232" s="4">
        <f t="shared" si="4"/>
        <v>5</v>
      </c>
      <c r="H232" s="4" t="str">
        <f t="shared" si="5"/>
        <v>Binh thuong</v>
      </c>
    </row>
    <row r="233" ht="14.25" customHeight="1">
      <c r="A233" s="4" t="s">
        <v>248</v>
      </c>
      <c r="B233" s="4">
        <v>153.0</v>
      </c>
      <c r="C233" s="4" t="s">
        <v>10</v>
      </c>
      <c r="D233" s="4" t="str">
        <f t="shared" si="1"/>
        <v>Safety Stock</v>
      </c>
      <c r="E233" s="4">
        <f t="shared" si="2"/>
        <v>61.2</v>
      </c>
      <c r="F233" s="4">
        <f t="shared" si="3"/>
        <v>44.2</v>
      </c>
      <c r="G233" s="4">
        <f t="shared" si="4"/>
        <v>61</v>
      </c>
      <c r="H233" s="4" t="str">
        <f t="shared" si="5"/>
        <v>Binh thuong</v>
      </c>
    </row>
    <row r="234" ht="14.25" customHeight="1">
      <c r="A234" s="4" t="s">
        <v>249</v>
      </c>
      <c r="B234" s="4">
        <v>123.0</v>
      </c>
      <c r="C234" s="4" t="s">
        <v>10</v>
      </c>
      <c r="D234" s="4" t="str">
        <f t="shared" si="1"/>
        <v>Safety Stock</v>
      </c>
      <c r="E234" s="4">
        <f t="shared" si="2"/>
        <v>49.2</v>
      </c>
      <c r="F234" s="4">
        <f t="shared" si="3"/>
        <v>35.53333333</v>
      </c>
      <c r="G234" s="4">
        <f t="shared" si="4"/>
        <v>49</v>
      </c>
      <c r="H234" s="4" t="str">
        <f t="shared" si="5"/>
        <v>Binh thuong</v>
      </c>
    </row>
    <row r="235" ht="14.25" customHeight="1">
      <c r="A235" s="4" t="s">
        <v>250</v>
      </c>
      <c r="B235" s="4">
        <v>226.0</v>
      </c>
      <c r="C235" s="4" t="s">
        <v>10</v>
      </c>
      <c r="D235" s="4" t="str">
        <f t="shared" si="1"/>
        <v>Safety Stock</v>
      </c>
      <c r="E235" s="4">
        <f t="shared" si="2"/>
        <v>90.4</v>
      </c>
      <c r="F235" s="4">
        <f t="shared" si="3"/>
        <v>65.28888889</v>
      </c>
      <c r="G235" s="4">
        <f t="shared" si="4"/>
        <v>90</v>
      </c>
      <c r="H235" s="4" t="str">
        <f t="shared" si="5"/>
        <v>Binh thuong</v>
      </c>
    </row>
    <row r="236" ht="14.25" customHeight="1">
      <c r="A236" s="4" t="s">
        <v>251</v>
      </c>
      <c r="B236" s="4">
        <v>2124.0</v>
      </c>
      <c r="C236" s="4" t="s">
        <v>10</v>
      </c>
      <c r="D236" s="4" t="str">
        <f t="shared" si="1"/>
        <v>Safety Stock</v>
      </c>
      <c r="E236" s="4">
        <f t="shared" si="2"/>
        <v>849.6</v>
      </c>
      <c r="F236" s="4">
        <f t="shared" si="3"/>
        <v>613.6</v>
      </c>
      <c r="G236" s="4">
        <f t="shared" si="4"/>
        <v>850</v>
      </c>
      <c r="H236" s="4" t="str">
        <f t="shared" si="5"/>
        <v>Binh thuong</v>
      </c>
    </row>
    <row r="237" ht="14.25" customHeight="1">
      <c r="A237" s="4" t="s">
        <v>252</v>
      </c>
      <c r="B237" s="4">
        <v>1732.0</v>
      </c>
      <c r="C237" s="4" t="s">
        <v>10</v>
      </c>
      <c r="D237" s="4" t="str">
        <f t="shared" si="1"/>
        <v>Safety Stock</v>
      </c>
      <c r="E237" s="4">
        <f t="shared" si="2"/>
        <v>692.8</v>
      </c>
      <c r="F237" s="4">
        <f t="shared" si="3"/>
        <v>500.3555556</v>
      </c>
      <c r="G237" s="4">
        <f t="shared" si="4"/>
        <v>693</v>
      </c>
      <c r="H237" s="4" t="str">
        <f t="shared" si="5"/>
        <v>Binh thuong</v>
      </c>
    </row>
    <row r="238" ht="14.25" customHeight="1">
      <c r="A238" s="4" t="s">
        <v>253</v>
      </c>
      <c r="B238" s="4">
        <v>21996.0</v>
      </c>
      <c r="C238" s="4" t="s">
        <v>10</v>
      </c>
      <c r="D238" s="4" t="str">
        <f t="shared" si="1"/>
        <v>Safety Stock</v>
      </c>
      <c r="E238" s="4">
        <f t="shared" si="2"/>
        <v>8798.4</v>
      </c>
      <c r="F238" s="4">
        <f t="shared" si="3"/>
        <v>6354.4</v>
      </c>
      <c r="G238" s="4">
        <f t="shared" si="4"/>
        <v>8798</v>
      </c>
      <c r="H238" s="4" t="str">
        <f t="shared" si="5"/>
        <v>Binh thuong</v>
      </c>
    </row>
    <row r="239" ht="14.25" customHeight="1">
      <c r="A239" s="4" t="s">
        <v>254</v>
      </c>
      <c r="B239" s="4">
        <v>2392.0</v>
      </c>
      <c r="C239" s="4" t="s">
        <v>10</v>
      </c>
      <c r="D239" s="4" t="str">
        <f t="shared" si="1"/>
        <v>Safety Stock</v>
      </c>
      <c r="E239" s="4">
        <f t="shared" si="2"/>
        <v>956.8</v>
      </c>
      <c r="F239" s="4">
        <f t="shared" si="3"/>
        <v>691.0222222</v>
      </c>
      <c r="G239" s="4">
        <f t="shared" si="4"/>
        <v>957</v>
      </c>
      <c r="H239" s="4" t="str">
        <f t="shared" si="5"/>
        <v>Binh thuong</v>
      </c>
    </row>
    <row r="240" ht="14.25" customHeight="1">
      <c r="A240" s="4" t="s">
        <v>255</v>
      </c>
      <c r="B240" s="4">
        <v>13720.0</v>
      </c>
      <c r="C240" s="4" t="s">
        <v>10</v>
      </c>
      <c r="D240" s="4" t="str">
        <f t="shared" si="1"/>
        <v>Safety Stock</v>
      </c>
      <c r="E240" s="4">
        <f t="shared" si="2"/>
        <v>5488</v>
      </c>
      <c r="F240" s="4">
        <f t="shared" si="3"/>
        <v>3963.555556</v>
      </c>
      <c r="G240" s="4">
        <f t="shared" si="4"/>
        <v>5488</v>
      </c>
      <c r="H240" s="4" t="str">
        <f t="shared" si="5"/>
        <v>Binh thuong</v>
      </c>
    </row>
    <row r="241" ht="14.25" customHeight="1">
      <c r="A241" s="4" t="s">
        <v>256</v>
      </c>
      <c r="B241" s="4">
        <v>1544.0</v>
      </c>
      <c r="C241" s="4" t="s">
        <v>10</v>
      </c>
      <c r="D241" s="4" t="str">
        <f t="shared" si="1"/>
        <v>Safety Stock</v>
      </c>
      <c r="E241" s="4">
        <f t="shared" si="2"/>
        <v>617.6</v>
      </c>
      <c r="F241" s="4">
        <f t="shared" si="3"/>
        <v>446.0444444</v>
      </c>
      <c r="G241" s="4">
        <f t="shared" si="4"/>
        <v>618</v>
      </c>
      <c r="H241" s="4" t="str">
        <f t="shared" si="5"/>
        <v>Binh thuong</v>
      </c>
    </row>
    <row r="242" ht="14.25" customHeight="1">
      <c r="A242" s="4" t="s">
        <v>257</v>
      </c>
      <c r="B242" s="4">
        <v>6641.0</v>
      </c>
      <c r="C242" s="4" t="s">
        <v>10</v>
      </c>
      <c r="D242" s="4" t="str">
        <f t="shared" si="1"/>
        <v>Safety Stock</v>
      </c>
      <c r="E242" s="4">
        <f t="shared" si="2"/>
        <v>2656.4</v>
      </c>
      <c r="F242" s="4">
        <f t="shared" si="3"/>
        <v>1918.511111</v>
      </c>
      <c r="G242" s="4">
        <f t="shared" si="4"/>
        <v>2656</v>
      </c>
      <c r="H242" s="4" t="str">
        <f t="shared" si="5"/>
        <v>Binh thuong</v>
      </c>
    </row>
    <row r="243" ht="14.25" customHeight="1">
      <c r="A243" s="4" t="s">
        <v>258</v>
      </c>
      <c r="B243" s="4">
        <v>13533.0</v>
      </c>
      <c r="C243" s="4" t="s">
        <v>10</v>
      </c>
      <c r="D243" s="4" t="str">
        <f t="shared" si="1"/>
        <v>Safety Stock</v>
      </c>
      <c r="E243" s="4">
        <f t="shared" si="2"/>
        <v>5413.2</v>
      </c>
      <c r="F243" s="4">
        <f t="shared" si="3"/>
        <v>3909.533333</v>
      </c>
      <c r="G243" s="4">
        <f t="shared" si="4"/>
        <v>5413</v>
      </c>
      <c r="H243" s="4" t="str">
        <f t="shared" si="5"/>
        <v>Binh thuong</v>
      </c>
    </row>
    <row r="244" ht="14.25" customHeight="1">
      <c r="A244" s="4" t="s">
        <v>259</v>
      </c>
      <c r="B244" s="4">
        <v>6614.0</v>
      </c>
      <c r="C244" s="4" t="s">
        <v>10</v>
      </c>
      <c r="D244" s="4" t="str">
        <f t="shared" si="1"/>
        <v>Safety Stock</v>
      </c>
      <c r="E244" s="4">
        <f t="shared" si="2"/>
        <v>2645.6</v>
      </c>
      <c r="F244" s="4">
        <f t="shared" si="3"/>
        <v>1910.711111</v>
      </c>
      <c r="G244" s="4">
        <f t="shared" si="4"/>
        <v>2646</v>
      </c>
      <c r="H244" s="4" t="str">
        <f t="shared" si="5"/>
        <v>Binh thuong</v>
      </c>
    </row>
    <row r="245" ht="14.25" customHeight="1">
      <c r="A245" s="4" t="s">
        <v>260</v>
      </c>
      <c r="B245" s="4">
        <v>8731.0</v>
      </c>
      <c r="C245" s="4" t="s">
        <v>10</v>
      </c>
      <c r="D245" s="4" t="str">
        <f t="shared" si="1"/>
        <v>Safety Stock</v>
      </c>
      <c r="E245" s="4">
        <f t="shared" si="2"/>
        <v>3492.4</v>
      </c>
      <c r="F245" s="4">
        <f t="shared" si="3"/>
        <v>2522.288889</v>
      </c>
      <c r="G245" s="4">
        <f t="shared" si="4"/>
        <v>3492</v>
      </c>
      <c r="H245" s="4" t="str">
        <f t="shared" si="5"/>
        <v>Binh thuong</v>
      </c>
    </row>
    <row r="246" ht="14.25" customHeight="1">
      <c r="A246" s="4" t="s">
        <v>261</v>
      </c>
      <c r="B246" s="4">
        <v>3382.0</v>
      </c>
      <c r="C246" s="4" t="s">
        <v>10</v>
      </c>
      <c r="D246" s="4" t="str">
        <f t="shared" si="1"/>
        <v>Safety Stock</v>
      </c>
      <c r="E246" s="4">
        <f t="shared" si="2"/>
        <v>1352.8</v>
      </c>
      <c r="F246" s="4">
        <f t="shared" si="3"/>
        <v>977.0222222</v>
      </c>
      <c r="G246" s="4">
        <f t="shared" si="4"/>
        <v>1353</v>
      </c>
      <c r="H246" s="4" t="str">
        <f t="shared" si="5"/>
        <v>Binh thuong</v>
      </c>
    </row>
    <row r="247" ht="14.25" customHeight="1">
      <c r="A247" s="4" t="s">
        <v>262</v>
      </c>
      <c r="B247" s="4">
        <v>6.0</v>
      </c>
      <c r="C247" s="4" t="s">
        <v>10</v>
      </c>
      <c r="D247" s="4" t="str">
        <f t="shared" si="1"/>
        <v>Safety Stock</v>
      </c>
      <c r="E247" s="4">
        <f t="shared" si="2"/>
        <v>2.4</v>
      </c>
      <c r="F247" s="4">
        <f t="shared" si="3"/>
        <v>1.733333333</v>
      </c>
      <c r="G247" s="4">
        <f t="shared" si="4"/>
        <v>2</v>
      </c>
      <c r="H247" s="4" t="str">
        <f t="shared" si="5"/>
        <v>Binh thuong</v>
      </c>
    </row>
    <row r="248" ht="14.25" customHeight="1">
      <c r="A248" s="4" t="s">
        <v>263</v>
      </c>
      <c r="B248" s="4">
        <v>24.0</v>
      </c>
      <c r="C248" s="4" t="s">
        <v>10</v>
      </c>
      <c r="D248" s="4" t="str">
        <f t="shared" si="1"/>
        <v>Safety Stock</v>
      </c>
      <c r="E248" s="4">
        <f t="shared" si="2"/>
        <v>9.6</v>
      </c>
      <c r="F248" s="4">
        <f t="shared" si="3"/>
        <v>6.933333333</v>
      </c>
      <c r="G248" s="4">
        <f t="shared" si="4"/>
        <v>10</v>
      </c>
      <c r="H248" s="4" t="str">
        <f t="shared" si="5"/>
        <v>Binh thuong</v>
      </c>
    </row>
    <row r="249" ht="14.25" customHeight="1">
      <c r="A249" s="4" t="s">
        <v>264</v>
      </c>
      <c r="B249" s="4">
        <v>10.0</v>
      </c>
      <c r="C249" s="4" t="s">
        <v>10</v>
      </c>
      <c r="D249" s="4" t="str">
        <f t="shared" si="1"/>
        <v>Safety Stock</v>
      </c>
      <c r="E249" s="4">
        <f t="shared" si="2"/>
        <v>4</v>
      </c>
      <c r="F249" s="4">
        <f t="shared" si="3"/>
        <v>2.888888889</v>
      </c>
      <c r="G249" s="4">
        <f t="shared" si="4"/>
        <v>4</v>
      </c>
      <c r="H249" s="4" t="str">
        <f t="shared" si="5"/>
        <v>Binh thuong</v>
      </c>
    </row>
    <row r="250" ht="14.25" customHeight="1">
      <c r="A250" s="4" t="s">
        <v>265</v>
      </c>
      <c r="B250" s="4">
        <v>114.0</v>
      </c>
      <c r="C250" s="4" t="s">
        <v>10</v>
      </c>
      <c r="D250" s="4" t="str">
        <f t="shared" si="1"/>
        <v>Safety Stock</v>
      </c>
      <c r="E250" s="4">
        <f t="shared" si="2"/>
        <v>45.6</v>
      </c>
      <c r="F250" s="4">
        <f t="shared" si="3"/>
        <v>32.93333333</v>
      </c>
      <c r="G250" s="4">
        <f t="shared" si="4"/>
        <v>46</v>
      </c>
      <c r="H250" s="4" t="str">
        <f t="shared" si="5"/>
        <v>Binh thuong</v>
      </c>
    </row>
    <row r="251" ht="14.25" customHeight="1">
      <c r="A251" s="4" t="s">
        <v>266</v>
      </c>
      <c r="B251" s="4">
        <v>753.0</v>
      </c>
      <c r="C251" s="4" t="s">
        <v>10</v>
      </c>
      <c r="D251" s="4" t="str">
        <f t="shared" si="1"/>
        <v>Safety Stock</v>
      </c>
      <c r="E251" s="4">
        <f t="shared" si="2"/>
        <v>301.2</v>
      </c>
      <c r="F251" s="4">
        <f t="shared" si="3"/>
        <v>217.5333333</v>
      </c>
      <c r="G251" s="4">
        <f t="shared" si="4"/>
        <v>301</v>
      </c>
      <c r="H251" s="4" t="str">
        <f t="shared" si="5"/>
        <v>Binh thuong</v>
      </c>
    </row>
    <row r="252" ht="14.25" customHeight="1">
      <c r="A252" s="4" t="s">
        <v>267</v>
      </c>
      <c r="B252" s="4">
        <v>155.0</v>
      </c>
      <c r="C252" s="4" t="s">
        <v>10</v>
      </c>
      <c r="D252" s="4" t="str">
        <f t="shared" si="1"/>
        <v>Safety Stock</v>
      </c>
      <c r="E252" s="4">
        <f t="shared" si="2"/>
        <v>62</v>
      </c>
      <c r="F252" s="4">
        <f t="shared" si="3"/>
        <v>44.77777778</v>
      </c>
      <c r="G252" s="4">
        <f t="shared" si="4"/>
        <v>62</v>
      </c>
      <c r="H252" s="4" t="str">
        <f t="shared" si="5"/>
        <v>Binh thuong</v>
      </c>
    </row>
    <row r="253" ht="14.25" customHeight="1">
      <c r="A253" s="4" t="s">
        <v>268</v>
      </c>
      <c r="B253" s="4">
        <v>141.0</v>
      </c>
      <c r="C253" s="4" t="s">
        <v>10</v>
      </c>
      <c r="D253" s="4" t="str">
        <f t="shared" si="1"/>
        <v>Safety Stock</v>
      </c>
      <c r="E253" s="4">
        <f t="shared" si="2"/>
        <v>56.4</v>
      </c>
      <c r="F253" s="4">
        <f t="shared" si="3"/>
        <v>40.73333333</v>
      </c>
      <c r="G253" s="4">
        <f t="shared" si="4"/>
        <v>56</v>
      </c>
      <c r="H253" s="4" t="str">
        <f t="shared" si="5"/>
        <v>Binh thuong</v>
      </c>
    </row>
    <row r="254" ht="14.25" customHeight="1">
      <c r="A254" s="4" t="s">
        <v>269</v>
      </c>
      <c r="B254" s="4">
        <v>546.0</v>
      </c>
      <c r="C254" s="4" t="s">
        <v>10</v>
      </c>
      <c r="D254" s="4" t="str">
        <f t="shared" si="1"/>
        <v>Safety Stock</v>
      </c>
      <c r="E254" s="4">
        <f t="shared" si="2"/>
        <v>218.4</v>
      </c>
      <c r="F254" s="4">
        <f t="shared" si="3"/>
        <v>157.7333333</v>
      </c>
      <c r="G254" s="4">
        <f t="shared" si="4"/>
        <v>218</v>
      </c>
      <c r="H254" s="4" t="str">
        <f t="shared" si="5"/>
        <v>Binh thuong</v>
      </c>
    </row>
    <row r="255" ht="14.25" customHeight="1">
      <c r="A255" s="4" t="s">
        <v>270</v>
      </c>
      <c r="B255" s="4">
        <v>1177.0</v>
      </c>
      <c r="C255" s="4" t="s">
        <v>10</v>
      </c>
      <c r="D255" s="4" t="str">
        <f t="shared" si="1"/>
        <v>Safety Stock</v>
      </c>
      <c r="E255" s="4">
        <f t="shared" si="2"/>
        <v>470.8</v>
      </c>
      <c r="F255" s="4">
        <f t="shared" si="3"/>
        <v>340.0222222</v>
      </c>
      <c r="G255" s="4">
        <f t="shared" si="4"/>
        <v>471</v>
      </c>
      <c r="H255" s="4" t="str">
        <f t="shared" si="5"/>
        <v>Binh thuong</v>
      </c>
    </row>
    <row r="256" ht="14.25" customHeight="1">
      <c r="A256" s="4" t="s">
        <v>271</v>
      </c>
      <c r="B256" s="4">
        <v>635.0</v>
      </c>
      <c r="C256" s="4" t="s">
        <v>10</v>
      </c>
      <c r="D256" s="4" t="str">
        <f t="shared" si="1"/>
        <v>Safety Stock</v>
      </c>
      <c r="E256" s="4">
        <f t="shared" si="2"/>
        <v>254</v>
      </c>
      <c r="F256" s="4">
        <f t="shared" si="3"/>
        <v>183.4444444</v>
      </c>
      <c r="G256" s="4">
        <f t="shared" si="4"/>
        <v>254</v>
      </c>
      <c r="H256" s="4" t="str">
        <f t="shared" si="5"/>
        <v>Binh thuong</v>
      </c>
    </row>
    <row r="257" ht="14.25" customHeight="1">
      <c r="A257" s="4" t="s">
        <v>272</v>
      </c>
      <c r="B257" s="4">
        <v>587.0</v>
      </c>
      <c r="C257" s="4" t="s">
        <v>10</v>
      </c>
      <c r="D257" s="4" t="str">
        <f t="shared" si="1"/>
        <v>Safety Stock</v>
      </c>
      <c r="E257" s="4">
        <f t="shared" si="2"/>
        <v>234.8</v>
      </c>
      <c r="F257" s="4">
        <f t="shared" si="3"/>
        <v>169.5777778</v>
      </c>
      <c r="G257" s="4">
        <f t="shared" si="4"/>
        <v>235</v>
      </c>
      <c r="H257" s="4" t="str">
        <f t="shared" si="5"/>
        <v>Binh thuong</v>
      </c>
    </row>
    <row r="258" ht="14.25" customHeight="1">
      <c r="A258" s="4" t="s">
        <v>273</v>
      </c>
      <c r="B258" s="4">
        <v>1252.0</v>
      </c>
      <c r="C258" s="4" t="s">
        <v>10</v>
      </c>
      <c r="D258" s="4" t="str">
        <f t="shared" si="1"/>
        <v>Safety Stock</v>
      </c>
      <c r="E258" s="4">
        <f t="shared" si="2"/>
        <v>500.8</v>
      </c>
      <c r="F258" s="4">
        <f t="shared" si="3"/>
        <v>361.6888889</v>
      </c>
      <c r="G258" s="4">
        <f t="shared" si="4"/>
        <v>501</v>
      </c>
      <c r="H258" s="4" t="str">
        <f t="shared" si="5"/>
        <v>Binh thuong</v>
      </c>
    </row>
    <row r="259" ht="14.25" customHeight="1">
      <c r="A259" s="4" t="s">
        <v>274</v>
      </c>
      <c r="B259" s="4">
        <v>1152.0</v>
      </c>
      <c r="C259" s="4" t="s">
        <v>10</v>
      </c>
      <c r="D259" s="4" t="str">
        <f t="shared" si="1"/>
        <v>Safety Stock</v>
      </c>
      <c r="E259" s="4">
        <f t="shared" si="2"/>
        <v>460.8</v>
      </c>
      <c r="F259" s="4">
        <f t="shared" si="3"/>
        <v>332.8</v>
      </c>
      <c r="G259" s="4">
        <f t="shared" si="4"/>
        <v>461</v>
      </c>
      <c r="H259" s="4" t="str">
        <f t="shared" si="5"/>
        <v>Binh thuong</v>
      </c>
    </row>
    <row r="260" ht="14.25" customHeight="1">
      <c r="A260" s="4" t="s">
        <v>275</v>
      </c>
      <c r="B260" s="4">
        <v>1080.0</v>
      </c>
      <c r="C260" s="4" t="s">
        <v>10</v>
      </c>
      <c r="D260" s="4" t="str">
        <f t="shared" si="1"/>
        <v>Safety Stock</v>
      </c>
      <c r="E260" s="4">
        <f t="shared" si="2"/>
        <v>432</v>
      </c>
      <c r="F260" s="4">
        <f t="shared" si="3"/>
        <v>312</v>
      </c>
      <c r="G260" s="4">
        <f t="shared" si="4"/>
        <v>432</v>
      </c>
      <c r="H260" s="4" t="str">
        <f t="shared" si="5"/>
        <v>Binh thuong</v>
      </c>
    </row>
    <row r="261" ht="14.25" customHeight="1">
      <c r="A261" s="4" t="s">
        <v>276</v>
      </c>
      <c r="B261" s="4">
        <v>687.0</v>
      </c>
      <c r="C261" s="4" t="s">
        <v>10</v>
      </c>
      <c r="D261" s="4" t="str">
        <f t="shared" si="1"/>
        <v>Safety Stock</v>
      </c>
      <c r="E261" s="4">
        <f t="shared" si="2"/>
        <v>274.8</v>
      </c>
      <c r="F261" s="4">
        <f t="shared" si="3"/>
        <v>198.4666667</v>
      </c>
      <c r="G261" s="4">
        <f t="shared" si="4"/>
        <v>275</v>
      </c>
      <c r="H261" s="4" t="str">
        <f t="shared" si="5"/>
        <v>Binh thuong</v>
      </c>
    </row>
    <row r="262" ht="14.25" customHeight="1">
      <c r="A262" s="4" t="s">
        <v>277</v>
      </c>
      <c r="B262" s="4">
        <v>1294.0</v>
      </c>
      <c r="C262" s="4" t="s">
        <v>10</v>
      </c>
      <c r="D262" s="4" t="str">
        <f t="shared" si="1"/>
        <v>Safety Stock</v>
      </c>
      <c r="E262" s="4">
        <f t="shared" si="2"/>
        <v>517.6</v>
      </c>
      <c r="F262" s="4">
        <f t="shared" si="3"/>
        <v>373.8222222</v>
      </c>
      <c r="G262" s="4">
        <f t="shared" si="4"/>
        <v>518</v>
      </c>
      <c r="H262" s="4" t="str">
        <f t="shared" si="5"/>
        <v>Binh thuong</v>
      </c>
    </row>
    <row r="263" ht="14.25" customHeight="1">
      <c r="A263" s="4" t="s">
        <v>278</v>
      </c>
      <c r="B263" s="4">
        <v>911.0</v>
      </c>
      <c r="C263" s="4" t="s">
        <v>10</v>
      </c>
      <c r="D263" s="4" t="str">
        <f t="shared" si="1"/>
        <v>Safety Stock</v>
      </c>
      <c r="E263" s="4">
        <f t="shared" si="2"/>
        <v>364.4</v>
      </c>
      <c r="F263" s="4">
        <f t="shared" si="3"/>
        <v>263.1777778</v>
      </c>
      <c r="G263" s="4">
        <f t="shared" si="4"/>
        <v>364</v>
      </c>
      <c r="H263" s="4" t="str">
        <f t="shared" si="5"/>
        <v>Binh thuong</v>
      </c>
    </row>
    <row r="264" ht="14.25" customHeight="1">
      <c r="A264" s="4" t="s">
        <v>279</v>
      </c>
      <c r="B264" s="4">
        <v>480.0</v>
      </c>
      <c r="C264" s="4" t="s">
        <v>10</v>
      </c>
      <c r="D264" s="4" t="str">
        <f t="shared" si="1"/>
        <v>Safety Stock</v>
      </c>
      <c r="E264" s="4">
        <f t="shared" si="2"/>
        <v>192</v>
      </c>
      <c r="F264" s="4">
        <f t="shared" si="3"/>
        <v>138.6666667</v>
      </c>
      <c r="G264" s="4">
        <f t="shared" si="4"/>
        <v>192</v>
      </c>
      <c r="H264" s="4" t="str">
        <f t="shared" si="5"/>
        <v>Binh thuong</v>
      </c>
    </row>
    <row r="265" ht="14.25" customHeight="1">
      <c r="A265" s="4" t="s">
        <v>280</v>
      </c>
      <c r="B265" s="4">
        <v>7416.0</v>
      </c>
      <c r="C265" s="4" t="s">
        <v>10</v>
      </c>
      <c r="D265" s="4" t="str">
        <f t="shared" si="1"/>
        <v>Safety Stock</v>
      </c>
      <c r="E265" s="4">
        <f t="shared" si="2"/>
        <v>2966.4</v>
      </c>
      <c r="F265" s="4">
        <f t="shared" si="3"/>
        <v>2142.4</v>
      </c>
      <c r="G265" s="4">
        <f t="shared" si="4"/>
        <v>2966</v>
      </c>
      <c r="H265" s="4" t="str">
        <f t="shared" si="5"/>
        <v>Binh thuong</v>
      </c>
    </row>
    <row r="266" ht="14.25" customHeight="1">
      <c r="A266" s="4" t="s">
        <v>281</v>
      </c>
      <c r="B266" s="4">
        <v>400.0</v>
      </c>
      <c r="C266" s="4" t="s">
        <v>10</v>
      </c>
      <c r="D266" s="4" t="str">
        <f t="shared" si="1"/>
        <v>Safety Stock</v>
      </c>
      <c r="E266" s="4">
        <f t="shared" si="2"/>
        <v>160</v>
      </c>
      <c r="F266" s="4">
        <f t="shared" si="3"/>
        <v>115.5555556</v>
      </c>
      <c r="G266" s="4">
        <f t="shared" si="4"/>
        <v>160</v>
      </c>
      <c r="H266" s="4" t="str">
        <f t="shared" si="5"/>
        <v>Binh thuong</v>
      </c>
    </row>
    <row r="267" ht="14.25" customHeight="1">
      <c r="A267" s="4" t="s">
        <v>282</v>
      </c>
      <c r="B267" s="4">
        <v>1920.0</v>
      </c>
      <c r="C267" s="4" t="s">
        <v>10</v>
      </c>
      <c r="D267" s="4" t="str">
        <f t="shared" si="1"/>
        <v>Safety Stock</v>
      </c>
      <c r="E267" s="4">
        <f t="shared" si="2"/>
        <v>768</v>
      </c>
      <c r="F267" s="4">
        <f t="shared" si="3"/>
        <v>554.6666667</v>
      </c>
      <c r="G267" s="4">
        <f t="shared" si="4"/>
        <v>768</v>
      </c>
      <c r="H267" s="4" t="str">
        <f t="shared" si="5"/>
        <v>Binh thuong</v>
      </c>
    </row>
    <row r="268" ht="14.25" customHeight="1">
      <c r="A268" s="4" t="s">
        <v>283</v>
      </c>
      <c r="B268" s="4">
        <v>480.0</v>
      </c>
      <c r="C268" s="4" t="s">
        <v>10</v>
      </c>
      <c r="D268" s="4" t="str">
        <f t="shared" si="1"/>
        <v>Safety Stock</v>
      </c>
      <c r="E268" s="4">
        <f t="shared" si="2"/>
        <v>192</v>
      </c>
      <c r="F268" s="4">
        <f t="shared" si="3"/>
        <v>138.6666667</v>
      </c>
      <c r="G268" s="4">
        <f t="shared" si="4"/>
        <v>192</v>
      </c>
      <c r="H268" s="4" t="str">
        <f t="shared" si="5"/>
        <v>Binh thuong</v>
      </c>
    </row>
    <row r="269" ht="14.25" customHeight="1">
      <c r="A269" s="4" t="s">
        <v>284</v>
      </c>
      <c r="B269" s="4">
        <v>7680.0</v>
      </c>
      <c r="C269" s="4" t="s">
        <v>10</v>
      </c>
      <c r="D269" s="4" t="str">
        <f t="shared" si="1"/>
        <v>Safety Stock</v>
      </c>
      <c r="E269" s="4">
        <f t="shared" si="2"/>
        <v>3072</v>
      </c>
      <c r="F269" s="4">
        <f t="shared" si="3"/>
        <v>2218.666667</v>
      </c>
      <c r="G269" s="4">
        <f t="shared" si="4"/>
        <v>3072</v>
      </c>
      <c r="H269" s="4" t="str">
        <f t="shared" si="5"/>
        <v>Binh thuong</v>
      </c>
    </row>
    <row r="270" ht="14.25" customHeight="1">
      <c r="A270" s="4" t="s">
        <v>285</v>
      </c>
      <c r="B270" s="4">
        <v>3200.0</v>
      </c>
      <c r="C270" s="4" t="s">
        <v>10</v>
      </c>
      <c r="D270" s="4" t="str">
        <f t="shared" si="1"/>
        <v>Safety Stock</v>
      </c>
      <c r="E270" s="4">
        <f t="shared" si="2"/>
        <v>1280</v>
      </c>
      <c r="F270" s="4">
        <f t="shared" si="3"/>
        <v>924.4444444</v>
      </c>
      <c r="G270" s="4">
        <f t="shared" si="4"/>
        <v>1280</v>
      </c>
      <c r="H270" s="4" t="str">
        <f t="shared" si="5"/>
        <v>Binh thuong</v>
      </c>
    </row>
    <row r="271" ht="14.25" customHeight="1">
      <c r="A271" s="4" t="s">
        <v>286</v>
      </c>
      <c r="B271" s="4">
        <v>480.0</v>
      </c>
      <c r="C271" s="4" t="s">
        <v>10</v>
      </c>
      <c r="D271" s="4" t="str">
        <f t="shared" si="1"/>
        <v>Safety Stock</v>
      </c>
      <c r="E271" s="4">
        <f t="shared" si="2"/>
        <v>192</v>
      </c>
      <c r="F271" s="4">
        <f t="shared" si="3"/>
        <v>138.6666667</v>
      </c>
      <c r="G271" s="4">
        <f t="shared" si="4"/>
        <v>192</v>
      </c>
      <c r="H271" s="4" t="str">
        <f t="shared" si="5"/>
        <v>Binh thuong</v>
      </c>
    </row>
    <row r="272" ht="14.25" customHeight="1">
      <c r="A272" s="4" t="s">
        <v>287</v>
      </c>
      <c r="B272" s="4">
        <v>14856.0</v>
      </c>
      <c r="C272" s="4" t="s">
        <v>10</v>
      </c>
      <c r="D272" s="4" t="str">
        <f t="shared" si="1"/>
        <v>Safety Stock</v>
      </c>
      <c r="E272" s="4">
        <f t="shared" si="2"/>
        <v>5942.4</v>
      </c>
      <c r="F272" s="4">
        <f t="shared" si="3"/>
        <v>4291.733333</v>
      </c>
      <c r="G272" s="4">
        <f t="shared" si="4"/>
        <v>5942</v>
      </c>
      <c r="H272" s="4" t="str">
        <f t="shared" si="5"/>
        <v>Binh thuong</v>
      </c>
    </row>
    <row r="273" ht="14.25" customHeight="1">
      <c r="A273" s="4" t="s">
        <v>288</v>
      </c>
      <c r="B273" s="4">
        <v>720.0</v>
      </c>
      <c r="C273" s="4" t="s">
        <v>10</v>
      </c>
      <c r="D273" s="4" t="str">
        <f t="shared" si="1"/>
        <v>Safety Stock</v>
      </c>
      <c r="E273" s="4">
        <f t="shared" si="2"/>
        <v>288</v>
      </c>
      <c r="F273" s="4">
        <f t="shared" si="3"/>
        <v>208</v>
      </c>
      <c r="G273" s="4">
        <f t="shared" si="4"/>
        <v>288</v>
      </c>
      <c r="H273" s="4" t="str">
        <f t="shared" si="5"/>
        <v>Binh thuong</v>
      </c>
    </row>
    <row r="274" ht="14.25" customHeight="1">
      <c r="A274" s="4" t="s">
        <v>289</v>
      </c>
      <c r="B274" s="4">
        <v>320.0</v>
      </c>
      <c r="C274" s="4" t="s">
        <v>10</v>
      </c>
      <c r="D274" s="4" t="str">
        <f t="shared" si="1"/>
        <v>Safety Stock</v>
      </c>
      <c r="E274" s="4">
        <f t="shared" si="2"/>
        <v>128</v>
      </c>
      <c r="F274" s="4">
        <f t="shared" si="3"/>
        <v>92.44444444</v>
      </c>
      <c r="G274" s="4">
        <f t="shared" si="4"/>
        <v>128</v>
      </c>
      <c r="H274" s="4" t="str">
        <f t="shared" si="5"/>
        <v>Binh thuong</v>
      </c>
    </row>
    <row r="275" ht="14.25" customHeight="1">
      <c r="A275" s="4" t="s">
        <v>290</v>
      </c>
      <c r="B275" s="4">
        <v>2160.0</v>
      </c>
      <c r="C275" s="4" t="s">
        <v>10</v>
      </c>
      <c r="D275" s="4" t="str">
        <f t="shared" si="1"/>
        <v>Safety Stock</v>
      </c>
      <c r="E275" s="4">
        <f t="shared" si="2"/>
        <v>864</v>
      </c>
      <c r="F275" s="4">
        <f t="shared" si="3"/>
        <v>624</v>
      </c>
      <c r="G275" s="4">
        <f t="shared" si="4"/>
        <v>864</v>
      </c>
      <c r="H275" s="4" t="str">
        <f t="shared" si="5"/>
        <v>Binh thuong</v>
      </c>
    </row>
    <row r="276" ht="14.25" customHeight="1">
      <c r="A276" s="4" t="s">
        <v>291</v>
      </c>
      <c r="B276" s="4">
        <v>2312.0</v>
      </c>
      <c r="C276" s="4" t="s">
        <v>10</v>
      </c>
      <c r="D276" s="4" t="str">
        <f t="shared" si="1"/>
        <v>Safety Stock</v>
      </c>
      <c r="E276" s="4">
        <f t="shared" si="2"/>
        <v>924.8</v>
      </c>
      <c r="F276" s="4">
        <f t="shared" si="3"/>
        <v>667.9111111</v>
      </c>
      <c r="G276" s="4">
        <f t="shared" si="4"/>
        <v>925</v>
      </c>
      <c r="H276" s="4" t="str">
        <f t="shared" si="5"/>
        <v>Binh thuong</v>
      </c>
    </row>
    <row r="277" ht="14.25" customHeight="1">
      <c r="A277" s="4" t="s">
        <v>292</v>
      </c>
      <c r="B277" s="4">
        <v>25.0</v>
      </c>
      <c r="C277" s="4" t="s">
        <v>10</v>
      </c>
      <c r="D277" s="4" t="str">
        <f t="shared" si="1"/>
        <v>Safety Stock</v>
      </c>
      <c r="E277" s="4">
        <f t="shared" si="2"/>
        <v>10</v>
      </c>
      <c r="F277" s="4">
        <f t="shared" si="3"/>
        <v>7.222222222</v>
      </c>
      <c r="G277" s="4">
        <f t="shared" si="4"/>
        <v>10</v>
      </c>
      <c r="H277" s="4" t="str">
        <f t="shared" si="5"/>
        <v>Binh thuong</v>
      </c>
    </row>
    <row r="278" ht="14.25" customHeight="1">
      <c r="A278" s="4" t="s">
        <v>293</v>
      </c>
      <c r="B278" s="4">
        <v>1385.0</v>
      </c>
      <c r="C278" s="4" t="s">
        <v>10</v>
      </c>
      <c r="D278" s="4" t="str">
        <f t="shared" si="1"/>
        <v>Safety Stock</v>
      </c>
      <c r="E278" s="4">
        <f t="shared" si="2"/>
        <v>554</v>
      </c>
      <c r="F278" s="4">
        <f t="shared" si="3"/>
        <v>400.1111111</v>
      </c>
      <c r="G278" s="4">
        <f t="shared" si="4"/>
        <v>554</v>
      </c>
      <c r="H278" s="4" t="str">
        <f t="shared" si="5"/>
        <v>Binh thuong</v>
      </c>
    </row>
    <row r="279" ht="14.25" customHeight="1">
      <c r="A279" s="4" t="s">
        <v>294</v>
      </c>
      <c r="B279" s="4">
        <v>450.0</v>
      </c>
      <c r="C279" s="4" t="s">
        <v>10</v>
      </c>
      <c r="D279" s="4" t="str">
        <f t="shared" si="1"/>
        <v>Safety Stock</v>
      </c>
      <c r="E279" s="4">
        <f t="shared" si="2"/>
        <v>180</v>
      </c>
      <c r="F279" s="4">
        <f t="shared" si="3"/>
        <v>130</v>
      </c>
      <c r="G279" s="4">
        <f t="shared" si="4"/>
        <v>180</v>
      </c>
      <c r="H279" s="4" t="str">
        <f t="shared" si="5"/>
        <v>Binh thuong</v>
      </c>
    </row>
    <row r="280" ht="14.25" customHeight="1">
      <c r="A280" s="4" t="s">
        <v>295</v>
      </c>
      <c r="B280" s="4">
        <v>800.0</v>
      </c>
      <c r="C280" s="4" t="s">
        <v>10</v>
      </c>
      <c r="D280" s="4" t="str">
        <f t="shared" si="1"/>
        <v>Safety Stock</v>
      </c>
      <c r="E280" s="4">
        <f t="shared" si="2"/>
        <v>320</v>
      </c>
      <c r="F280" s="4">
        <f t="shared" si="3"/>
        <v>231.1111111</v>
      </c>
      <c r="G280" s="4">
        <f t="shared" si="4"/>
        <v>320</v>
      </c>
      <c r="H280" s="4" t="str">
        <f t="shared" si="5"/>
        <v>Binh thuong</v>
      </c>
    </row>
    <row r="281" ht="14.25" customHeight="1">
      <c r="A281" s="4" t="s">
        <v>296</v>
      </c>
      <c r="B281" s="4">
        <v>653.0</v>
      </c>
      <c r="C281" s="4" t="s">
        <v>10</v>
      </c>
      <c r="D281" s="4" t="str">
        <f t="shared" si="1"/>
        <v>Safety Stock</v>
      </c>
      <c r="E281" s="4">
        <f t="shared" si="2"/>
        <v>261.2</v>
      </c>
      <c r="F281" s="4">
        <f t="shared" si="3"/>
        <v>188.6444444</v>
      </c>
      <c r="G281" s="4">
        <f t="shared" si="4"/>
        <v>261</v>
      </c>
      <c r="H281" s="4" t="str">
        <f t="shared" si="5"/>
        <v>Binh thuong</v>
      </c>
    </row>
    <row r="282" ht="14.25" customHeight="1">
      <c r="A282" s="4" t="s">
        <v>297</v>
      </c>
      <c r="B282" s="4">
        <v>274.0</v>
      </c>
      <c r="C282" s="4" t="s">
        <v>10</v>
      </c>
      <c r="D282" s="4" t="str">
        <f t="shared" si="1"/>
        <v>Safety Stock</v>
      </c>
      <c r="E282" s="4">
        <f t="shared" si="2"/>
        <v>109.6</v>
      </c>
      <c r="F282" s="4">
        <f t="shared" si="3"/>
        <v>79.15555556</v>
      </c>
      <c r="G282" s="4">
        <f t="shared" si="4"/>
        <v>110</v>
      </c>
      <c r="H282" s="4" t="str">
        <f t="shared" si="5"/>
        <v>Binh thuong</v>
      </c>
    </row>
    <row r="283" ht="14.25" customHeight="1">
      <c r="A283" s="4" t="s">
        <v>298</v>
      </c>
      <c r="B283" s="4">
        <v>951.0</v>
      </c>
      <c r="C283" s="4" t="s">
        <v>10</v>
      </c>
      <c r="D283" s="4" t="str">
        <f t="shared" si="1"/>
        <v>Safety Stock</v>
      </c>
      <c r="E283" s="4">
        <f t="shared" si="2"/>
        <v>380.4</v>
      </c>
      <c r="F283" s="4">
        <f t="shared" si="3"/>
        <v>274.7333333</v>
      </c>
      <c r="G283" s="4">
        <f t="shared" si="4"/>
        <v>380</v>
      </c>
      <c r="H283" s="4" t="str">
        <f t="shared" si="5"/>
        <v>Binh thuong</v>
      </c>
    </row>
    <row r="284" ht="14.25" customHeight="1">
      <c r="A284" s="4" t="s">
        <v>299</v>
      </c>
      <c r="B284" s="4">
        <v>1293800.0</v>
      </c>
      <c r="C284" s="4" t="s">
        <v>300</v>
      </c>
      <c r="D284" s="4" t="str">
        <f t="shared" si="1"/>
        <v>XGBoost</v>
      </c>
      <c r="E284" s="4">
        <f t="shared" si="2"/>
        <v>221794.2857</v>
      </c>
      <c r="F284" s="4">
        <f t="shared" si="3"/>
        <v>78038.73016</v>
      </c>
      <c r="G284" s="4">
        <f t="shared" si="4"/>
        <v>221794</v>
      </c>
      <c r="H284" s="4" t="str">
        <f t="shared" si="5"/>
        <v>Uu tien cao</v>
      </c>
    </row>
    <row r="285" ht="14.25" customHeight="1">
      <c r="A285" s="4" t="s">
        <v>301</v>
      </c>
      <c r="B285" s="4">
        <v>1258225.05</v>
      </c>
      <c r="C285" s="4" t="s">
        <v>300</v>
      </c>
      <c r="D285" s="4" t="str">
        <f t="shared" si="1"/>
        <v>XGBoost</v>
      </c>
      <c r="E285" s="4">
        <f t="shared" si="2"/>
        <v>215695.7229</v>
      </c>
      <c r="F285" s="4">
        <f t="shared" si="3"/>
        <v>75892.93952</v>
      </c>
      <c r="G285" s="4">
        <f t="shared" si="4"/>
        <v>215696</v>
      </c>
      <c r="H285" s="4" t="str">
        <f t="shared" si="5"/>
        <v>Uu tien cao</v>
      </c>
    </row>
    <row r="286" ht="14.25" customHeight="1">
      <c r="A286" s="4" t="s">
        <v>302</v>
      </c>
      <c r="B286" s="4">
        <v>483800.0</v>
      </c>
      <c r="C286" s="4" t="s">
        <v>300</v>
      </c>
      <c r="D286" s="4" t="str">
        <f t="shared" si="1"/>
        <v>XGBoost</v>
      </c>
      <c r="E286" s="4">
        <f t="shared" si="2"/>
        <v>82937.14286</v>
      </c>
      <c r="F286" s="4">
        <f t="shared" si="3"/>
        <v>29181.5873</v>
      </c>
      <c r="G286" s="4">
        <f t="shared" si="4"/>
        <v>82937</v>
      </c>
      <c r="H286" s="4" t="str">
        <f t="shared" si="5"/>
        <v>Uu tien cao</v>
      </c>
    </row>
    <row r="287" ht="14.25" customHeight="1">
      <c r="A287" s="4" t="s">
        <v>303</v>
      </c>
      <c r="B287" s="4">
        <v>322325.0</v>
      </c>
      <c r="C287" s="4" t="s">
        <v>300</v>
      </c>
      <c r="D287" s="4" t="str">
        <f t="shared" si="1"/>
        <v>XGBoost</v>
      </c>
      <c r="E287" s="4">
        <f t="shared" si="2"/>
        <v>55255.71429</v>
      </c>
      <c r="F287" s="4">
        <f t="shared" si="3"/>
        <v>19441.8254</v>
      </c>
      <c r="G287" s="4">
        <f t="shared" si="4"/>
        <v>55256</v>
      </c>
      <c r="H287" s="4" t="str">
        <f t="shared" si="5"/>
        <v>Uu tien cao</v>
      </c>
    </row>
    <row r="288" ht="14.25" customHeight="1">
      <c r="A288" s="4" t="s">
        <v>304</v>
      </c>
      <c r="B288" s="4">
        <v>280875.0</v>
      </c>
      <c r="C288" s="4" t="s">
        <v>300</v>
      </c>
      <c r="D288" s="4" t="str">
        <f t="shared" si="1"/>
        <v>XGBoost</v>
      </c>
      <c r="E288" s="4">
        <f t="shared" si="2"/>
        <v>48150</v>
      </c>
      <c r="F288" s="4">
        <f t="shared" si="3"/>
        <v>16941.66667</v>
      </c>
      <c r="G288" s="4">
        <f t="shared" si="4"/>
        <v>48150</v>
      </c>
      <c r="H288" s="4" t="str">
        <f t="shared" si="5"/>
        <v>Uu tien cao</v>
      </c>
    </row>
    <row r="289" ht="14.25" customHeight="1">
      <c r="A289" s="4" t="s">
        <v>305</v>
      </c>
      <c r="B289" s="4">
        <v>267525.0</v>
      </c>
      <c r="C289" s="4" t="s">
        <v>300</v>
      </c>
      <c r="D289" s="4" t="str">
        <f t="shared" si="1"/>
        <v>XGBoost</v>
      </c>
      <c r="E289" s="4">
        <f t="shared" si="2"/>
        <v>45861.42857</v>
      </c>
      <c r="F289" s="4">
        <f t="shared" si="3"/>
        <v>16136.42857</v>
      </c>
      <c r="G289" s="4">
        <f t="shared" si="4"/>
        <v>45861</v>
      </c>
      <c r="H289" s="4" t="str">
        <f t="shared" si="5"/>
        <v>Uu tien cao</v>
      </c>
    </row>
    <row r="290" ht="14.25" customHeight="1">
      <c r="A290" s="4" t="s">
        <v>306</v>
      </c>
      <c r="B290" s="4">
        <v>218475.0</v>
      </c>
      <c r="C290" s="4" t="s">
        <v>300</v>
      </c>
      <c r="D290" s="4" t="str">
        <f t="shared" si="1"/>
        <v>XGBoost</v>
      </c>
      <c r="E290" s="4">
        <f t="shared" si="2"/>
        <v>37452.85714</v>
      </c>
      <c r="F290" s="4">
        <f t="shared" si="3"/>
        <v>13177.85714</v>
      </c>
      <c r="G290" s="4">
        <f t="shared" si="4"/>
        <v>37453</v>
      </c>
      <c r="H290" s="4" t="str">
        <f t="shared" si="5"/>
        <v>Uu tien cao</v>
      </c>
    </row>
    <row r="291" ht="14.25" customHeight="1">
      <c r="A291" s="4" t="s">
        <v>307</v>
      </c>
      <c r="B291" s="4">
        <v>168784.0</v>
      </c>
      <c r="C291" s="4" t="s">
        <v>300</v>
      </c>
      <c r="D291" s="4" t="str">
        <f t="shared" si="1"/>
        <v>XGBoost</v>
      </c>
      <c r="E291" s="4">
        <f t="shared" si="2"/>
        <v>28934.4</v>
      </c>
      <c r="F291" s="4">
        <f t="shared" si="3"/>
        <v>10180.62222</v>
      </c>
      <c r="G291" s="4">
        <f t="shared" si="4"/>
        <v>28934</v>
      </c>
      <c r="H291" s="4" t="str">
        <f t="shared" si="5"/>
        <v>Uu tien cao</v>
      </c>
    </row>
    <row r="292" ht="14.25" customHeight="1">
      <c r="A292" s="4" t="s">
        <v>308</v>
      </c>
      <c r="B292" s="4">
        <v>151078.0</v>
      </c>
      <c r="C292" s="4" t="s">
        <v>300</v>
      </c>
      <c r="D292" s="4" t="str">
        <f t="shared" si="1"/>
        <v>XGBoost</v>
      </c>
      <c r="E292" s="4">
        <f t="shared" si="2"/>
        <v>25899.08571</v>
      </c>
      <c r="F292" s="4">
        <f t="shared" si="3"/>
        <v>9112.64127</v>
      </c>
      <c r="G292" s="4">
        <f t="shared" si="4"/>
        <v>25899</v>
      </c>
      <c r="H292" s="4" t="str">
        <f t="shared" si="5"/>
        <v>Uu tien cao</v>
      </c>
    </row>
    <row r="293" ht="14.25" customHeight="1">
      <c r="A293" s="4" t="s">
        <v>309</v>
      </c>
      <c r="B293" s="4">
        <v>131359.0</v>
      </c>
      <c r="C293" s="4" t="s">
        <v>300</v>
      </c>
      <c r="D293" s="4" t="str">
        <f t="shared" si="1"/>
        <v>XGBoost</v>
      </c>
      <c r="E293" s="4">
        <f t="shared" si="2"/>
        <v>22518.68571</v>
      </c>
      <c r="F293" s="4">
        <f t="shared" si="3"/>
        <v>7923.24127</v>
      </c>
      <c r="G293" s="4">
        <f t="shared" si="4"/>
        <v>22519</v>
      </c>
      <c r="H293" s="4" t="str">
        <f t="shared" si="5"/>
        <v>Uu tien cao</v>
      </c>
    </row>
    <row r="294" ht="14.25" customHeight="1">
      <c r="A294" s="4" t="s">
        <v>310</v>
      </c>
      <c r="B294" s="4">
        <v>117405.0</v>
      </c>
      <c r="C294" s="4" t="s">
        <v>300</v>
      </c>
      <c r="D294" s="4" t="str">
        <f t="shared" si="1"/>
        <v>XGBoost</v>
      </c>
      <c r="E294" s="4">
        <f t="shared" si="2"/>
        <v>20126.57143</v>
      </c>
      <c r="F294" s="4">
        <f t="shared" si="3"/>
        <v>7081.571429</v>
      </c>
      <c r="G294" s="4">
        <f t="shared" si="4"/>
        <v>20127</v>
      </c>
      <c r="H294" s="4" t="str">
        <f t="shared" si="5"/>
        <v>Uu tien cao</v>
      </c>
    </row>
    <row r="295" ht="14.25" customHeight="1">
      <c r="A295" s="4" t="s">
        <v>311</v>
      </c>
      <c r="B295" s="4">
        <v>109380.0</v>
      </c>
      <c r="C295" s="4" t="s">
        <v>300</v>
      </c>
      <c r="D295" s="4" t="str">
        <f t="shared" si="1"/>
        <v>XGBoost</v>
      </c>
      <c r="E295" s="4">
        <f t="shared" si="2"/>
        <v>18750.85714</v>
      </c>
      <c r="F295" s="4">
        <f t="shared" si="3"/>
        <v>6597.52381</v>
      </c>
      <c r="G295" s="4">
        <f t="shared" si="4"/>
        <v>18751</v>
      </c>
      <c r="H295" s="4" t="str">
        <f t="shared" si="5"/>
        <v>Uu tien cao</v>
      </c>
    </row>
    <row r="296" ht="14.25" customHeight="1">
      <c r="A296" s="4" t="s">
        <v>312</v>
      </c>
      <c r="B296" s="4">
        <v>86483.0</v>
      </c>
      <c r="C296" s="4" t="s">
        <v>300</v>
      </c>
      <c r="D296" s="4" t="str">
        <f t="shared" si="1"/>
        <v>XGBoost</v>
      </c>
      <c r="E296" s="4">
        <f t="shared" si="2"/>
        <v>14825.65714</v>
      </c>
      <c r="F296" s="4">
        <f t="shared" si="3"/>
        <v>5216.434921</v>
      </c>
      <c r="G296" s="4">
        <f t="shared" si="4"/>
        <v>14826</v>
      </c>
      <c r="H296" s="4" t="str">
        <f t="shared" si="5"/>
        <v>Uu tien cao</v>
      </c>
    </row>
    <row r="297" ht="14.25" customHeight="1">
      <c r="A297" s="4" t="s">
        <v>313</v>
      </c>
      <c r="B297" s="4">
        <v>86281.0</v>
      </c>
      <c r="C297" s="4" t="s">
        <v>300</v>
      </c>
      <c r="D297" s="4" t="str">
        <f t="shared" si="1"/>
        <v>XGBoost</v>
      </c>
      <c r="E297" s="4">
        <f t="shared" si="2"/>
        <v>14791.02857</v>
      </c>
      <c r="F297" s="4">
        <f t="shared" si="3"/>
        <v>5204.250794</v>
      </c>
      <c r="G297" s="4">
        <f t="shared" si="4"/>
        <v>14791</v>
      </c>
      <c r="H297" s="4" t="str">
        <f t="shared" si="5"/>
        <v>Uu tien cao</v>
      </c>
    </row>
    <row r="298" ht="14.25" customHeight="1">
      <c r="A298" s="4" t="s">
        <v>314</v>
      </c>
      <c r="B298" s="4">
        <v>82298.0</v>
      </c>
      <c r="C298" s="4" t="s">
        <v>300</v>
      </c>
      <c r="D298" s="4" t="str">
        <f t="shared" si="1"/>
        <v>XGBoost</v>
      </c>
      <c r="E298" s="4">
        <f t="shared" si="2"/>
        <v>14108.22857</v>
      </c>
      <c r="F298" s="4">
        <f t="shared" si="3"/>
        <v>4964.006349</v>
      </c>
      <c r="G298" s="4">
        <f t="shared" si="4"/>
        <v>14108</v>
      </c>
      <c r="H298" s="4" t="str">
        <f t="shared" si="5"/>
        <v>Uu tien cao</v>
      </c>
    </row>
    <row r="299" ht="14.25" customHeight="1">
      <c r="A299" s="4" t="s">
        <v>315</v>
      </c>
      <c r="B299" s="4">
        <v>68476.0</v>
      </c>
      <c r="C299" s="4" t="s">
        <v>300</v>
      </c>
      <c r="D299" s="4" t="str">
        <f t="shared" si="1"/>
        <v>XGBoost</v>
      </c>
      <c r="E299" s="4">
        <f t="shared" si="2"/>
        <v>11738.74286</v>
      </c>
      <c r="F299" s="4">
        <f t="shared" si="3"/>
        <v>4130.298413</v>
      </c>
      <c r="G299" s="4">
        <f t="shared" si="4"/>
        <v>11739</v>
      </c>
      <c r="H299" s="4" t="str">
        <f t="shared" si="5"/>
        <v>Uu tien cao</v>
      </c>
    </row>
    <row r="300" ht="14.25" customHeight="1">
      <c r="A300" s="4" t="s">
        <v>316</v>
      </c>
      <c r="B300" s="4">
        <v>64706.0</v>
      </c>
      <c r="C300" s="4" t="s">
        <v>300</v>
      </c>
      <c r="D300" s="4" t="str">
        <f t="shared" si="1"/>
        <v>XGBoost</v>
      </c>
      <c r="E300" s="4">
        <f t="shared" si="2"/>
        <v>11092.45714</v>
      </c>
      <c r="F300" s="4">
        <f t="shared" si="3"/>
        <v>3902.901587</v>
      </c>
      <c r="G300" s="4">
        <f t="shared" si="4"/>
        <v>11092</v>
      </c>
      <c r="H300" s="4" t="str">
        <f t="shared" si="5"/>
        <v>Uu tien cao</v>
      </c>
    </row>
    <row r="301" ht="14.25" customHeight="1">
      <c r="A301" s="4" t="s">
        <v>317</v>
      </c>
      <c r="B301" s="4">
        <v>63815.0</v>
      </c>
      <c r="C301" s="4" t="s">
        <v>300</v>
      </c>
      <c r="D301" s="4" t="str">
        <f t="shared" si="1"/>
        <v>XGBoost</v>
      </c>
      <c r="E301" s="4">
        <f t="shared" si="2"/>
        <v>10939.71429</v>
      </c>
      <c r="F301" s="4">
        <f t="shared" si="3"/>
        <v>3849.15873</v>
      </c>
      <c r="G301" s="4">
        <f t="shared" si="4"/>
        <v>10940</v>
      </c>
      <c r="H301" s="4" t="str">
        <f t="shared" si="5"/>
        <v>Uu tien cao</v>
      </c>
    </row>
    <row r="302" ht="14.25" customHeight="1">
      <c r="A302" s="4" t="s">
        <v>318</v>
      </c>
      <c r="B302" s="4">
        <v>62200.0</v>
      </c>
      <c r="C302" s="4" t="s">
        <v>300</v>
      </c>
      <c r="D302" s="4" t="str">
        <f t="shared" si="1"/>
        <v>XGBoost</v>
      </c>
      <c r="E302" s="4">
        <f t="shared" si="2"/>
        <v>10662.85714</v>
      </c>
      <c r="F302" s="4">
        <f t="shared" si="3"/>
        <v>3751.746032</v>
      </c>
      <c r="G302" s="4">
        <f t="shared" si="4"/>
        <v>10663</v>
      </c>
      <c r="H302" s="4" t="str">
        <f t="shared" si="5"/>
        <v>Uu tien cao</v>
      </c>
    </row>
    <row r="303" ht="14.25" customHeight="1">
      <c r="A303" s="4" t="s">
        <v>319</v>
      </c>
      <c r="B303" s="4">
        <v>61496.0</v>
      </c>
      <c r="C303" s="4" t="s">
        <v>300</v>
      </c>
      <c r="D303" s="4" t="str">
        <f t="shared" si="1"/>
        <v>XGBoost</v>
      </c>
      <c r="E303" s="4">
        <f t="shared" si="2"/>
        <v>10542.17143</v>
      </c>
      <c r="F303" s="4">
        <f t="shared" si="3"/>
        <v>3709.28254</v>
      </c>
      <c r="G303" s="4">
        <f t="shared" si="4"/>
        <v>10542</v>
      </c>
      <c r="H303" s="4" t="str">
        <f t="shared" si="5"/>
        <v>Uu tien cao</v>
      </c>
    </row>
    <row r="304" ht="14.25" customHeight="1">
      <c r="A304" s="4" t="s">
        <v>320</v>
      </c>
      <c r="B304" s="4">
        <v>60819.0</v>
      </c>
      <c r="C304" s="4" t="s">
        <v>300</v>
      </c>
      <c r="D304" s="4" t="str">
        <f t="shared" si="1"/>
        <v>XGBoost</v>
      </c>
      <c r="E304" s="4">
        <f t="shared" si="2"/>
        <v>10426.11429</v>
      </c>
      <c r="F304" s="4">
        <f t="shared" si="3"/>
        <v>3668.447619</v>
      </c>
      <c r="G304" s="4">
        <f t="shared" si="4"/>
        <v>10426</v>
      </c>
      <c r="H304" s="4" t="str">
        <f t="shared" si="5"/>
        <v>Uu tien cao</v>
      </c>
    </row>
    <row r="305" ht="14.25" customHeight="1">
      <c r="A305" s="4" t="s">
        <v>321</v>
      </c>
      <c r="B305" s="4">
        <v>58221.0</v>
      </c>
      <c r="C305" s="4" t="s">
        <v>300</v>
      </c>
      <c r="D305" s="4" t="str">
        <f t="shared" si="1"/>
        <v>XGBoost</v>
      </c>
      <c r="E305" s="4">
        <f t="shared" si="2"/>
        <v>9980.742857</v>
      </c>
      <c r="F305" s="4">
        <f t="shared" si="3"/>
        <v>3511.742857</v>
      </c>
      <c r="G305" s="4">
        <f t="shared" si="4"/>
        <v>9981</v>
      </c>
      <c r="H305" s="4" t="str">
        <f t="shared" si="5"/>
        <v>Uu tien cao</v>
      </c>
    </row>
    <row r="306" ht="14.25" customHeight="1">
      <c r="A306" s="4" t="s">
        <v>322</v>
      </c>
      <c r="B306" s="4">
        <v>57570.0</v>
      </c>
      <c r="C306" s="4" t="s">
        <v>300</v>
      </c>
      <c r="D306" s="4" t="str">
        <f t="shared" si="1"/>
        <v>XGBoost</v>
      </c>
      <c r="E306" s="4">
        <f t="shared" si="2"/>
        <v>9869.142857</v>
      </c>
      <c r="F306" s="4">
        <f t="shared" si="3"/>
        <v>3472.47619</v>
      </c>
      <c r="G306" s="4">
        <f t="shared" si="4"/>
        <v>9869</v>
      </c>
      <c r="H306" s="4" t="str">
        <f t="shared" si="5"/>
        <v>Uu tien cao</v>
      </c>
    </row>
    <row r="307" ht="14.25" customHeight="1">
      <c r="A307" s="4" t="s">
        <v>323</v>
      </c>
      <c r="B307" s="4">
        <v>56318.0</v>
      </c>
      <c r="C307" s="4" t="s">
        <v>300</v>
      </c>
      <c r="D307" s="4" t="str">
        <f t="shared" si="1"/>
        <v>XGBoost</v>
      </c>
      <c r="E307" s="4">
        <f t="shared" si="2"/>
        <v>9654.514286</v>
      </c>
      <c r="F307" s="4">
        <f t="shared" si="3"/>
        <v>3396.95873</v>
      </c>
      <c r="G307" s="4">
        <f t="shared" si="4"/>
        <v>9655</v>
      </c>
      <c r="H307" s="4" t="str">
        <f t="shared" si="5"/>
        <v>Uu tien cao</v>
      </c>
    </row>
    <row r="308" ht="14.25" customHeight="1">
      <c r="A308" s="4" t="s">
        <v>324</v>
      </c>
      <c r="B308" s="4">
        <v>54995.0</v>
      </c>
      <c r="C308" s="4" t="s">
        <v>300</v>
      </c>
      <c r="D308" s="4" t="str">
        <f t="shared" si="1"/>
        <v>XGBoost</v>
      </c>
      <c r="E308" s="4">
        <f t="shared" si="2"/>
        <v>9427.714286</v>
      </c>
      <c r="F308" s="4">
        <f t="shared" si="3"/>
        <v>3317.15873</v>
      </c>
      <c r="G308" s="4">
        <f t="shared" si="4"/>
        <v>9428</v>
      </c>
      <c r="H308" s="4" t="str">
        <f t="shared" si="5"/>
        <v>Uu tien cao</v>
      </c>
    </row>
    <row r="309" ht="14.25" customHeight="1">
      <c r="A309" s="4" t="s">
        <v>325</v>
      </c>
      <c r="B309" s="4">
        <v>53944.0</v>
      </c>
      <c r="C309" s="4" t="s">
        <v>300</v>
      </c>
      <c r="D309" s="4" t="str">
        <f t="shared" si="1"/>
        <v>XGBoost</v>
      </c>
      <c r="E309" s="4">
        <f t="shared" si="2"/>
        <v>9247.542857</v>
      </c>
      <c r="F309" s="4">
        <f t="shared" si="3"/>
        <v>3253.765079</v>
      </c>
      <c r="G309" s="4">
        <f t="shared" si="4"/>
        <v>9248</v>
      </c>
      <c r="H309" s="4" t="str">
        <f t="shared" si="5"/>
        <v>Uu tien cao</v>
      </c>
    </row>
    <row r="310" ht="14.25" customHeight="1">
      <c r="A310" s="4" t="s">
        <v>326</v>
      </c>
      <c r="B310" s="4">
        <v>53015.0</v>
      </c>
      <c r="C310" s="4" t="s">
        <v>300</v>
      </c>
      <c r="D310" s="4" t="str">
        <f t="shared" si="1"/>
        <v>XGBoost</v>
      </c>
      <c r="E310" s="4">
        <f t="shared" si="2"/>
        <v>9088.285714</v>
      </c>
      <c r="F310" s="4">
        <f t="shared" si="3"/>
        <v>3197.730159</v>
      </c>
      <c r="G310" s="4">
        <f t="shared" si="4"/>
        <v>9088</v>
      </c>
      <c r="H310" s="4" t="str">
        <f t="shared" si="5"/>
        <v>Uu tien cao</v>
      </c>
    </row>
    <row r="311" ht="14.25" customHeight="1">
      <c r="A311" s="4" t="s">
        <v>327</v>
      </c>
      <c r="B311" s="4">
        <v>52880.0</v>
      </c>
      <c r="C311" s="4" t="s">
        <v>300</v>
      </c>
      <c r="D311" s="4" t="str">
        <f t="shared" si="1"/>
        <v>XGBoost</v>
      </c>
      <c r="E311" s="4">
        <f t="shared" si="2"/>
        <v>9065.142857</v>
      </c>
      <c r="F311" s="4">
        <f t="shared" si="3"/>
        <v>3189.587302</v>
      </c>
      <c r="G311" s="4">
        <f t="shared" si="4"/>
        <v>9065</v>
      </c>
      <c r="H311" s="4" t="str">
        <f t="shared" si="5"/>
        <v>Uu tien cao</v>
      </c>
    </row>
    <row r="312" ht="14.25" customHeight="1">
      <c r="A312" s="4" t="s">
        <v>328</v>
      </c>
      <c r="B312" s="4">
        <v>49776.0</v>
      </c>
      <c r="C312" s="4" t="s">
        <v>300</v>
      </c>
      <c r="D312" s="4" t="str">
        <f t="shared" si="1"/>
        <v>XGBoost</v>
      </c>
      <c r="E312" s="4">
        <f t="shared" si="2"/>
        <v>8533.028571</v>
      </c>
      <c r="F312" s="4">
        <f t="shared" si="3"/>
        <v>3002.361905</v>
      </c>
      <c r="G312" s="4">
        <f t="shared" si="4"/>
        <v>8533</v>
      </c>
      <c r="H312" s="4" t="str">
        <f t="shared" si="5"/>
        <v>Uu tien cao</v>
      </c>
    </row>
    <row r="313" ht="14.25" customHeight="1">
      <c r="A313" s="4" t="s">
        <v>329</v>
      </c>
      <c r="B313" s="4">
        <v>48486.0</v>
      </c>
      <c r="C313" s="4" t="s">
        <v>300</v>
      </c>
      <c r="D313" s="4" t="str">
        <f t="shared" si="1"/>
        <v>XGBoost</v>
      </c>
      <c r="E313" s="4">
        <f t="shared" si="2"/>
        <v>8311.885714</v>
      </c>
      <c r="F313" s="4">
        <f t="shared" si="3"/>
        <v>2924.552381</v>
      </c>
      <c r="G313" s="4">
        <f t="shared" si="4"/>
        <v>8312</v>
      </c>
      <c r="H313" s="4" t="str">
        <f t="shared" si="5"/>
        <v>Uu tien cao</v>
      </c>
    </row>
    <row r="314" ht="14.25" customHeight="1">
      <c r="A314" s="4" t="s">
        <v>330</v>
      </c>
      <c r="B314" s="4">
        <v>48472.0</v>
      </c>
      <c r="C314" s="4" t="s">
        <v>300</v>
      </c>
      <c r="D314" s="4" t="str">
        <f t="shared" si="1"/>
        <v>XGBoost</v>
      </c>
      <c r="E314" s="4">
        <f t="shared" si="2"/>
        <v>8309.485714</v>
      </c>
      <c r="F314" s="4">
        <f t="shared" si="3"/>
        <v>2923.707937</v>
      </c>
      <c r="G314" s="4">
        <f t="shared" si="4"/>
        <v>8309</v>
      </c>
      <c r="H314" s="4" t="str">
        <f t="shared" si="5"/>
        <v>Uu tien cao</v>
      </c>
    </row>
    <row r="315" ht="14.25" customHeight="1">
      <c r="A315" s="4" t="s">
        <v>331</v>
      </c>
      <c r="B315" s="4">
        <v>47374.0</v>
      </c>
      <c r="C315" s="4" t="s">
        <v>300</v>
      </c>
      <c r="D315" s="4" t="str">
        <f t="shared" si="1"/>
        <v>XGBoost</v>
      </c>
      <c r="E315" s="4">
        <f t="shared" si="2"/>
        <v>8121.257143</v>
      </c>
      <c r="F315" s="4">
        <f t="shared" si="3"/>
        <v>2857.479365</v>
      </c>
      <c r="G315" s="4">
        <f t="shared" si="4"/>
        <v>8121</v>
      </c>
      <c r="H315" s="4" t="str">
        <f t="shared" si="5"/>
        <v>Uu tien cao</v>
      </c>
    </row>
    <row r="316" ht="14.25" customHeight="1">
      <c r="A316" s="4" t="s">
        <v>332</v>
      </c>
      <c r="B316" s="4">
        <v>45376.0</v>
      </c>
      <c r="C316" s="4" t="s">
        <v>300</v>
      </c>
      <c r="D316" s="4" t="str">
        <f t="shared" si="1"/>
        <v>XGBoost</v>
      </c>
      <c r="E316" s="4">
        <f t="shared" si="2"/>
        <v>7778.742857</v>
      </c>
      <c r="F316" s="4">
        <f t="shared" si="3"/>
        <v>2736.965079</v>
      </c>
      <c r="G316" s="4">
        <f t="shared" si="4"/>
        <v>7779</v>
      </c>
      <c r="H316" s="4" t="str">
        <f t="shared" si="5"/>
        <v>Uu tien cao</v>
      </c>
    </row>
    <row r="317" ht="14.25" customHeight="1">
      <c r="A317" s="4" t="s">
        <v>333</v>
      </c>
      <c r="B317" s="4">
        <v>43692.0</v>
      </c>
      <c r="C317" s="4" t="s">
        <v>300</v>
      </c>
      <c r="D317" s="4" t="str">
        <f t="shared" si="1"/>
        <v>XGBoost</v>
      </c>
      <c r="E317" s="4">
        <f t="shared" si="2"/>
        <v>7490.057143</v>
      </c>
      <c r="F317" s="4">
        <f t="shared" si="3"/>
        <v>2635.390476</v>
      </c>
      <c r="G317" s="4">
        <f t="shared" si="4"/>
        <v>7490</v>
      </c>
      <c r="H317" s="4" t="str">
        <f t="shared" si="5"/>
        <v>Uu tien cao</v>
      </c>
    </row>
    <row r="318" ht="14.25" customHeight="1">
      <c r="A318" s="4" t="s">
        <v>334</v>
      </c>
      <c r="B318" s="4">
        <v>43303.0</v>
      </c>
      <c r="C318" s="4" t="s">
        <v>300</v>
      </c>
      <c r="D318" s="4" t="str">
        <f t="shared" si="1"/>
        <v>XGBoost</v>
      </c>
      <c r="E318" s="4">
        <f t="shared" si="2"/>
        <v>7423.371429</v>
      </c>
      <c r="F318" s="4">
        <f t="shared" si="3"/>
        <v>2611.926984</v>
      </c>
      <c r="G318" s="4">
        <f t="shared" si="4"/>
        <v>7423</v>
      </c>
      <c r="H318" s="4" t="str">
        <f t="shared" si="5"/>
        <v>Uu tien cao</v>
      </c>
    </row>
    <row r="319" ht="14.25" customHeight="1">
      <c r="A319" s="4" t="s">
        <v>335</v>
      </c>
      <c r="B319" s="4">
        <v>42790.0</v>
      </c>
      <c r="C319" s="4" t="s">
        <v>300</v>
      </c>
      <c r="D319" s="4" t="str">
        <f t="shared" si="1"/>
        <v>XGBoost</v>
      </c>
      <c r="E319" s="4">
        <f t="shared" si="2"/>
        <v>7335.428571</v>
      </c>
      <c r="F319" s="4">
        <f t="shared" si="3"/>
        <v>2580.984127</v>
      </c>
      <c r="G319" s="4">
        <f t="shared" si="4"/>
        <v>7335</v>
      </c>
      <c r="H319" s="4" t="str">
        <f t="shared" si="5"/>
        <v>Uu tien cao</v>
      </c>
    </row>
    <row r="320" ht="14.25" customHeight="1">
      <c r="A320" s="4" t="s">
        <v>336</v>
      </c>
      <c r="B320" s="4">
        <v>42158.0</v>
      </c>
      <c r="C320" s="4" t="s">
        <v>300</v>
      </c>
      <c r="D320" s="4" t="str">
        <f t="shared" si="1"/>
        <v>XGBoost</v>
      </c>
      <c r="E320" s="4">
        <f t="shared" si="2"/>
        <v>7227.085714</v>
      </c>
      <c r="F320" s="4">
        <f t="shared" si="3"/>
        <v>2542.863492</v>
      </c>
      <c r="G320" s="4">
        <f t="shared" si="4"/>
        <v>7227</v>
      </c>
      <c r="H320" s="4" t="str">
        <f t="shared" si="5"/>
        <v>Uu tien cao</v>
      </c>
    </row>
    <row r="321" ht="14.25" customHeight="1">
      <c r="A321" s="4" t="s">
        <v>337</v>
      </c>
      <c r="B321" s="4">
        <v>41447.0</v>
      </c>
      <c r="C321" s="4" t="s">
        <v>300</v>
      </c>
      <c r="D321" s="4" t="str">
        <f t="shared" si="1"/>
        <v>XGBoost</v>
      </c>
      <c r="E321" s="4">
        <f t="shared" si="2"/>
        <v>7105.2</v>
      </c>
      <c r="F321" s="4">
        <f t="shared" si="3"/>
        <v>2499.977778</v>
      </c>
      <c r="G321" s="4">
        <f t="shared" si="4"/>
        <v>7105</v>
      </c>
      <c r="H321" s="4" t="str">
        <f t="shared" si="5"/>
        <v>Uu tien cao</v>
      </c>
    </row>
    <row r="322" ht="14.25" customHeight="1">
      <c r="A322" s="4" t="s">
        <v>338</v>
      </c>
      <c r="B322" s="4">
        <v>41325.0</v>
      </c>
      <c r="C322" s="4" t="s">
        <v>300</v>
      </c>
      <c r="D322" s="4" t="str">
        <f t="shared" si="1"/>
        <v>XGBoost</v>
      </c>
      <c r="E322" s="4">
        <f t="shared" si="2"/>
        <v>7084.285714</v>
      </c>
      <c r="F322" s="4">
        <f t="shared" si="3"/>
        <v>2492.619048</v>
      </c>
      <c r="G322" s="4">
        <f t="shared" si="4"/>
        <v>7084</v>
      </c>
      <c r="H322" s="4" t="str">
        <f t="shared" si="5"/>
        <v>Uu tien cao</v>
      </c>
    </row>
    <row r="323" ht="14.25" customHeight="1">
      <c r="A323" s="4" t="s">
        <v>339</v>
      </c>
      <c r="B323" s="4">
        <v>40727.0</v>
      </c>
      <c r="C323" s="4" t="s">
        <v>300</v>
      </c>
      <c r="D323" s="4" t="str">
        <f t="shared" si="1"/>
        <v>XGBoost</v>
      </c>
      <c r="E323" s="4">
        <f t="shared" si="2"/>
        <v>6981.771429</v>
      </c>
      <c r="F323" s="4">
        <f t="shared" si="3"/>
        <v>2456.549206</v>
      </c>
      <c r="G323" s="4">
        <f t="shared" si="4"/>
        <v>6982</v>
      </c>
      <c r="H323" s="4" t="str">
        <f t="shared" si="5"/>
        <v>Uu tien cao</v>
      </c>
    </row>
    <row r="324" ht="14.25" customHeight="1">
      <c r="A324" s="4" t="s">
        <v>340</v>
      </c>
      <c r="B324" s="4">
        <v>40444.0</v>
      </c>
      <c r="C324" s="4" t="s">
        <v>300</v>
      </c>
      <c r="D324" s="4" t="str">
        <f t="shared" si="1"/>
        <v>XGBoost</v>
      </c>
      <c r="E324" s="4">
        <f t="shared" si="2"/>
        <v>6933.257143</v>
      </c>
      <c r="F324" s="4">
        <f t="shared" si="3"/>
        <v>2439.479365</v>
      </c>
      <c r="G324" s="4">
        <f t="shared" si="4"/>
        <v>6933</v>
      </c>
      <c r="H324" s="4" t="str">
        <f t="shared" si="5"/>
        <v>Binh thuong</v>
      </c>
    </row>
    <row r="325" ht="14.25" customHeight="1">
      <c r="A325" s="4" t="s">
        <v>341</v>
      </c>
      <c r="B325" s="4">
        <v>39353.0</v>
      </c>
      <c r="C325" s="4" t="s">
        <v>300</v>
      </c>
      <c r="D325" s="4" t="str">
        <f t="shared" si="1"/>
        <v>XGBoost</v>
      </c>
      <c r="E325" s="4">
        <f t="shared" si="2"/>
        <v>6746.228571</v>
      </c>
      <c r="F325" s="4">
        <f t="shared" si="3"/>
        <v>2373.673016</v>
      </c>
      <c r="G325" s="4">
        <f t="shared" si="4"/>
        <v>6746</v>
      </c>
      <c r="H325" s="4" t="str">
        <f t="shared" si="5"/>
        <v>Binh thuong</v>
      </c>
    </row>
    <row r="326" ht="14.25" customHeight="1">
      <c r="A326" s="4" t="s">
        <v>342</v>
      </c>
      <c r="B326" s="4">
        <v>39209.0</v>
      </c>
      <c r="C326" s="4" t="s">
        <v>300</v>
      </c>
      <c r="D326" s="4" t="str">
        <f t="shared" si="1"/>
        <v>XGBoost</v>
      </c>
      <c r="E326" s="4">
        <f t="shared" si="2"/>
        <v>6721.542857</v>
      </c>
      <c r="F326" s="4">
        <f t="shared" si="3"/>
        <v>2364.987302</v>
      </c>
      <c r="G326" s="4">
        <f t="shared" si="4"/>
        <v>6722</v>
      </c>
      <c r="H326" s="4" t="str">
        <f t="shared" si="5"/>
        <v>Binh thuong</v>
      </c>
    </row>
    <row r="327" ht="14.25" customHeight="1">
      <c r="A327" s="4" t="s">
        <v>343</v>
      </c>
      <c r="B327" s="4">
        <v>38800.0</v>
      </c>
      <c r="C327" s="4" t="s">
        <v>300</v>
      </c>
      <c r="D327" s="4" t="str">
        <f t="shared" si="1"/>
        <v>XGBoost</v>
      </c>
      <c r="E327" s="4">
        <f t="shared" si="2"/>
        <v>6651.428571</v>
      </c>
      <c r="F327" s="4">
        <f t="shared" si="3"/>
        <v>2340.31746</v>
      </c>
      <c r="G327" s="4">
        <f t="shared" si="4"/>
        <v>6651</v>
      </c>
      <c r="H327" s="4" t="str">
        <f t="shared" si="5"/>
        <v>Binh thuong</v>
      </c>
    </row>
    <row r="328" ht="14.25" customHeight="1">
      <c r="A328" s="4" t="s">
        <v>344</v>
      </c>
      <c r="B328" s="4">
        <v>38569.0</v>
      </c>
      <c r="C328" s="4" t="s">
        <v>300</v>
      </c>
      <c r="D328" s="4" t="str">
        <f t="shared" si="1"/>
        <v>XGBoost</v>
      </c>
      <c r="E328" s="4">
        <f t="shared" si="2"/>
        <v>6611.828571</v>
      </c>
      <c r="F328" s="4">
        <f t="shared" si="3"/>
        <v>2326.384127</v>
      </c>
      <c r="G328" s="4">
        <f t="shared" si="4"/>
        <v>6612</v>
      </c>
      <c r="H328" s="4" t="str">
        <f t="shared" si="5"/>
        <v>Binh thuong</v>
      </c>
    </row>
    <row r="329" ht="14.25" customHeight="1">
      <c r="A329" s="4" t="s">
        <v>345</v>
      </c>
      <c r="B329" s="4">
        <v>38248.0</v>
      </c>
      <c r="C329" s="4" t="s">
        <v>300</v>
      </c>
      <c r="D329" s="4" t="str">
        <f t="shared" si="1"/>
        <v>XGBoost</v>
      </c>
      <c r="E329" s="4">
        <f t="shared" si="2"/>
        <v>6556.8</v>
      </c>
      <c r="F329" s="4">
        <f t="shared" si="3"/>
        <v>2307.022222</v>
      </c>
      <c r="G329" s="4">
        <f t="shared" si="4"/>
        <v>6557</v>
      </c>
      <c r="H329" s="4" t="str">
        <f t="shared" si="5"/>
        <v>Binh thuong</v>
      </c>
    </row>
    <row r="330" ht="14.25" customHeight="1">
      <c r="A330" s="4" t="s">
        <v>346</v>
      </c>
      <c r="B330" s="4">
        <v>38214.0</v>
      </c>
      <c r="C330" s="4" t="s">
        <v>300</v>
      </c>
      <c r="D330" s="4" t="str">
        <f t="shared" si="1"/>
        <v>XGBoost</v>
      </c>
      <c r="E330" s="4">
        <f t="shared" si="2"/>
        <v>6550.971429</v>
      </c>
      <c r="F330" s="4">
        <f t="shared" si="3"/>
        <v>2304.971429</v>
      </c>
      <c r="G330" s="4">
        <f t="shared" si="4"/>
        <v>6551</v>
      </c>
      <c r="H330" s="4" t="str">
        <f t="shared" si="5"/>
        <v>Binh thuong</v>
      </c>
    </row>
    <row r="331" ht="14.25" customHeight="1">
      <c r="A331" s="4" t="s">
        <v>347</v>
      </c>
      <c r="B331" s="4">
        <v>38074.0</v>
      </c>
      <c r="C331" s="4" t="s">
        <v>300</v>
      </c>
      <c r="D331" s="4" t="str">
        <f t="shared" si="1"/>
        <v>XGBoost</v>
      </c>
      <c r="E331" s="4">
        <f t="shared" si="2"/>
        <v>6526.971429</v>
      </c>
      <c r="F331" s="4">
        <f t="shared" si="3"/>
        <v>2296.526984</v>
      </c>
      <c r="G331" s="4">
        <f t="shared" si="4"/>
        <v>6527</v>
      </c>
      <c r="H331" s="4" t="str">
        <f t="shared" si="5"/>
        <v>Binh thuong</v>
      </c>
    </row>
    <row r="332" ht="14.25" customHeight="1">
      <c r="A332" s="4" t="s">
        <v>348</v>
      </c>
      <c r="B332" s="4">
        <v>37506.0</v>
      </c>
      <c r="C332" s="4" t="s">
        <v>300</v>
      </c>
      <c r="D332" s="4" t="str">
        <f t="shared" si="1"/>
        <v>XGBoost</v>
      </c>
      <c r="E332" s="4">
        <f t="shared" si="2"/>
        <v>6429.6</v>
      </c>
      <c r="F332" s="4">
        <f t="shared" si="3"/>
        <v>2262.266667</v>
      </c>
      <c r="G332" s="4">
        <f t="shared" si="4"/>
        <v>6430</v>
      </c>
      <c r="H332" s="4" t="str">
        <f t="shared" si="5"/>
        <v>Binh thuong</v>
      </c>
    </row>
    <row r="333" ht="14.25" customHeight="1">
      <c r="A333" s="4" t="s">
        <v>349</v>
      </c>
      <c r="B333" s="4">
        <v>37372.0</v>
      </c>
      <c r="C333" s="4" t="s">
        <v>300</v>
      </c>
      <c r="D333" s="4" t="str">
        <f t="shared" si="1"/>
        <v>XGBoost</v>
      </c>
      <c r="E333" s="4">
        <f t="shared" si="2"/>
        <v>6406.628571</v>
      </c>
      <c r="F333" s="4">
        <f t="shared" si="3"/>
        <v>2254.184127</v>
      </c>
      <c r="G333" s="4">
        <f t="shared" si="4"/>
        <v>6407</v>
      </c>
      <c r="H333" s="4" t="str">
        <f t="shared" si="5"/>
        <v>Binh thuong</v>
      </c>
    </row>
    <row r="334" ht="14.25" customHeight="1">
      <c r="A334" s="4" t="s">
        <v>350</v>
      </c>
      <c r="B334" s="4">
        <v>36950.0</v>
      </c>
      <c r="C334" s="4" t="s">
        <v>300</v>
      </c>
      <c r="D334" s="4" t="str">
        <f t="shared" si="1"/>
        <v>XGBoost</v>
      </c>
      <c r="E334" s="4">
        <f t="shared" si="2"/>
        <v>6334.285714</v>
      </c>
      <c r="F334" s="4">
        <f t="shared" si="3"/>
        <v>2228.730159</v>
      </c>
      <c r="G334" s="4">
        <f t="shared" si="4"/>
        <v>6334</v>
      </c>
      <c r="H334" s="4" t="str">
        <f t="shared" si="5"/>
        <v>Binh thuong</v>
      </c>
    </row>
    <row r="335" ht="14.25" customHeight="1">
      <c r="A335" s="4" t="s">
        <v>351</v>
      </c>
      <c r="B335" s="4">
        <v>36325.0</v>
      </c>
      <c r="C335" s="4" t="s">
        <v>300</v>
      </c>
      <c r="D335" s="4" t="str">
        <f t="shared" si="1"/>
        <v>XGBoost</v>
      </c>
      <c r="E335" s="4">
        <f t="shared" si="2"/>
        <v>6227.142857</v>
      </c>
      <c r="F335" s="4">
        <f t="shared" si="3"/>
        <v>2191.031746</v>
      </c>
      <c r="G335" s="4">
        <f t="shared" si="4"/>
        <v>6227</v>
      </c>
      <c r="H335" s="4" t="str">
        <f t="shared" si="5"/>
        <v>Binh thuong</v>
      </c>
    </row>
    <row r="336" ht="14.25" customHeight="1">
      <c r="A336" s="4" t="s">
        <v>352</v>
      </c>
      <c r="B336" s="4">
        <v>35674.0</v>
      </c>
      <c r="C336" s="4" t="s">
        <v>300</v>
      </c>
      <c r="D336" s="4" t="str">
        <f t="shared" si="1"/>
        <v>XGBoost</v>
      </c>
      <c r="E336" s="4">
        <f t="shared" si="2"/>
        <v>6115.542857</v>
      </c>
      <c r="F336" s="4">
        <f t="shared" si="3"/>
        <v>2151.765079</v>
      </c>
      <c r="G336" s="4">
        <f t="shared" si="4"/>
        <v>6116</v>
      </c>
      <c r="H336" s="4" t="str">
        <f t="shared" si="5"/>
        <v>Binh thuong</v>
      </c>
    </row>
    <row r="337" ht="14.25" customHeight="1">
      <c r="A337" s="4" t="s">
        <v>353</v>
      </c>
      <c r="B337" s="4">
        <v>35157.0</v>
      </c>
      <c r="C337" s="4" t="s">
        <v>300</v>
      </c>
      <c r="D337" s="4" t="str">
        <f t="shared" si="1"/>
        <v>XGBoost</v>
      </c>
      <c r="E337" s="4">
        <f t="shared" si="2"/>
        <v>6026.914286</v>
      </c>
      <c r="F337" s="4">
        <f t="shared" si="3"/>
        <v>2120.580952</v>
      </c>
      <c r="G337" s="4">
        <f t="shared" si="4"/>
        <v>6027</v>
      </c>
      <c r="H337" s="4" t="str">
        <f t="shared" si="5"/>
        <v>Binh thuong</v>
      </c>
    </row>
    <row r="338" ht="14.25" customHeight="1">
      <c r="A338" s="4" t="s">
        <v>354</v>
      </c>
      <c r="B338" s="4">
        <v>33802.0</v>
      </c>
      <c r="C338" s="4" t="s">
        <v>300</v>
      </c>
      <c r="D338" s="4" t="str">
        <f t="shared" si="1"/>
        <v>XGBoost</v>
      </c>
      <c r="E338" s="4">
        <f t="shared" si="2"/>
        <v>5794.628571</v>
      </c>
      <c r="F338" s="4">
        <f t="shared" si="3"/>
        <v>2038.850794</v>
      </c>
      <c r="G338" s="4">
        <f t="shared" si="4"/>
        <v>5795</v>
      </c>
      <c r="H338" s="4" t="str">
        <f t="shared" si="5"/>
        <v>Binh thuong</v>
      </c>
    </row>
    <row r="339" ht="14.25" customHeight="1">
      <c r="A339" s="4" t="s">
        <v>355</v>
      </c>
      <c r="B339" s="4">
        <v>33406.0</v>
      </c>
      <c r="C339" s="4" t="s">
        <v>300</v>
      </c>
      <c r="D339" s="4" t="str">
        <f t="shared" si="1"/>
        <v>XGBoost</v>
      </c>
      <c r="E339" s="4">
        <f t="shared" si="2"/>
        <v>5726.742857</v>
      </c>
      <c r="F339" s="4">
        <f t="shared" si="3"/>
        <v>2014.965079</v>
      </c>
      <c r="G339" s="4">
        <f t="shared" si="4"/>
        <v>5727</v>
      </c>
      <c r="H339" s="4" t="str">
        <f t="shared" si="5"/>
        <v>Binh thuong</v>
      </c>
    </row>
    <row r="340" ht="14.25" customHeight="1">
      <c r="A340" s="4" t="s">
        <v>356</v>
      </c>
      <c r="B340" s="4">
        <v>32611.0</v>
      </c>
      <c r="C340" s="4" t="s">
        <v>300</v>
      </c>
      <c r="D340" s="4" t="str">
        <f t="shared" si="1"/>
        <v>XGBoost</v>
      </c>
      <c r="E340" s="4">
        <f t="shared" si="2"/>
        <v>5590.457143</v>
      </c>
      <c r="F340" s="4">
        <f t="shared" si="3"/>
        <v>1967.012698</v>
      </c>
      <c r="G340" s="4">
        <f t="shared" si="4"/>
        <v>5590</v>
      </c>
      <c r="H340" s="4" t="str">
        <f t="shared" si="5"/>
        <v>Binh thuong</v>
      </c>
    </row>
    <row r="341" ht="14.25" customHeight="1">
      <c r="A341" s="4" t="s">
        <v>357</v>
      </c>
      <c r="B341" s="4">
        <v>32040.0</v>
      </c>
      <c r="C341" s="4" t="s">
        <v>300</v>
      </c>
      <c r="D341" s="4" t="str">
        <f t="shared" si="1"/>
        <v>XGBoost</v>
      </c>
      <c r="E341" s="4">
        <f t="shared" si="2"/>
        <v>5492.571429</v>
      </c>
      <c r="F341" s="4">
        <f t="shared" si="3"/>
        <v>1932.571429</v>
      </c>
      <c r="G341" s="4">
        <f t="shared" si="4"/>
        <v>5493</v>
      </c>
      <c r="H341" s="4" t="str">
        <f t="shared" si="5"/>
        <v>Binh thuong</v>
      </c>
    </row>
    <row r="342" ht="14.25" customHeight="1">
      <c r="A342" s="4" t="s">
        <v>358</v>
      </c>
      <c r="B342" s="4">
        <v>31094.0</v>
      </c>
      <c r="C342" s="4" t="s">
        <v>300</v>
      </c>
      <c r="D342" s="4" t="str">
        <f t="shared" si="1"/>
        <v>XGBoost</v>
      </c>
      <c r="E342" s="4">
        <f t="shared" si="2"/>
        <v>5330.4</v>
      </c>
      <c r="F342" s="4">
        <f t="shared" si="3"/>
        <v>1875.511111</v>
      </c>
      <c r="G342" s="4">
        <f t="shared" si="4"/>
        <v>5330</v>
      </c>
      <c r="H342" s="4" t="str">
        <f t="shared" si="5"/>
        <v>Binh thuong</v>
      </c>
    </row>
    <row r="343" ht="14.25" customHeight="1">
      <c r="A343" s="4" t="s">
        <v>359</v>
      </c>
      <c r="B343" s="4">
        <v>30517.0</v>
      </c>
      <c r="C343" s="4" t="s">
        <v>300</v>
      </c>
      <c r="D343" s="4" t="str">
        <f t="shared" si="1"/>
        <v>XGBoost</v>
      </c>
      <c r="E343" s="4">
        <f t="shared" si="2"/>
        <v>5231.485714</v>
      </c>
      <c r="F343" s="4">
        <f t="shared" si="3"/>
        <v>1840.707937</v>
      </c>
      <c r="G343" s="4">
        <f t="shared" si="4"/>
        <v>5231</v>
      </c>
      <c r="H343" s="4" t="str">
        <f t="shared" si="5"/>
        <v>Binh thuong</v>
      </c>
    </row>
    <row r="344" ht="14.25" customHeight="1">
      <c r="A344" s="4" t="s">
        <v>360</v>
      </c>
      <c r="B344" s="4">
        <v>30105.0</v>
      </c>
      <c r="C344" s="4" t="s">
        <v>300</v>
      </c>
      <c r="D344" s="4" t="str">
        <f t="shared" si="1"/>
        <v>XGBoost</v>
      </c>
      <c r="E344" s="4">
        <f t="shared" si="2"/>
        <v>5160.857143</v>
      </c>
      <c r="F344" s="4">
        <f t="shared" si="3"/>
        <v>1815.857143</v>
      </c>
      <c r="G344" s="4">
        <f t="shared" si="4"/>
        <v>5161</v>
      </c>
      <c r="H344" s="4" t="str">
        <f t="shared" si="5"/>
        <v>Binh thuong</v>
      </c>
    </row>
    <row r="345" ht="14.25" customHeight="1">
      <c r="A345" s="4" t="s">
        <v>361</v>
      </c>
      <c r="B345" s="4">
        <v>29439.0</v>
      </c>
      <c r="C345" s="4" t="s">
        <v>300</v>
      </c>
      <c r="D345" s="4" t="str">
        <f t="shared" si="1"/>
        <v>XGBoost</v>
      </c>
      <c r="E345" s="4">
        <f t="shared" si="2"/>
        <v>5046.685714</v>
      </c>
      <c r="F345" s="4">
        <f t="shared" si="3"/>
        <v>1775.685714</v>
      </c>
      <c r="G345" s="4">
        <f t="shared" si="4"/>
        <v>5047</v>
      </c>
      <c r="H345" s="4" t="str">
        <f t="shared" si="5"/>
        <v>Binh thuong</v>
      </c>
    </row>
    <row r="346" ht="14.25" customHeight="1">
      <c r="A346" s="4" t="s">
        <v>362</v>
      </c>
      <c r="B346" s="4">
        <v>28312.0</v>
      </c>
      <c r="C346" s="4" t="s">
        <v>300</v>
      </c>
      <c r="D346" s="4" t="str">
        <f t="shared" si="1"/>
        <v>XGBoost</v>
      </c>
      <c r="E346" s="4">
        <f t="shared" si="2"/>
        <v>4853.485714</v>
      </c>
      <c r="F346" s="4">
        <f t="shared" si="3"/>
        <v>1707.707937</v>
      </c>
      <c r="G346" s="4">
        <f t="shared" si="4"/>
        <v>4853</v>
      </c>
      <c r="H346" s="4" t="str">
        <f t="shared" si="5"/>
        <v>Binh thuong</v>
      </c>
    </row>
    <row r="347" ht="14.25" customHeight="1">
      <c r="A347" s="4" t="s">
        <v>363</v>
      </c>
      <c r="B347" s="4">
        <v>27896.0</v>
      </c>
      <c r="C347" s="4" t="s">
        <v>300</v>
      </c>
      <c r="D347" s="4" t="str">
        <f t="shared" si="1"/>
        <v>XGBoost</v>
      </c>
      <c r="E347" s="4">
        <f t="shared" si="2"/>
        <v>4782.171429</v>
      </c>
      <c r="F347" s="4">
        <f t="shared" si="3"/>
        <v>1682.615873</v>
      </c>
      <c r="G347" s="4">
        <f t="shared" si="4"/>
        <v>4782</v>
      </c>
      <c r="H347" s="4" t="str">
        <f t="shared" si="5"/>
        <v>Binh thuong</v>
      </c>
    </row>
    <row r="348" ht="14.25" customHeight="1">
      <c r="A348" s="4" t="s">
        <v>364</v>
      </c>
      <c r="B348" s="4">
        <v>27771.0</v>
      </c>
      <c r="C348" s="4" t="s">
        <v>300</v>
      </c>
      <c r="D348" s="4" t="str">
        <f t="shared" si="1"/>
        <v>XGBoost</v>
      </c>
      <c r="E348" s="4">
        <f t="shared" si="2"/>
        <v>4760.742857</v>
      </c>
      <c r="F348" s="4">
        <f t="shared" si="3"/>
        <v>1675.07619</v>
      </c>
      <c r="G348" s="4">
        <f t="shared" si="4"/>
        <v>4761</v>
      </c>
      <c r="H348" s="4" t="str">
        <f t="shared" si="5"/>
        <v>Binh thuong</v>
      </c>
    </row>
    <row r="349" ht="14.25" customHeight="1">
      <c r="A349" s="4" t="s">
        <v>365</v>
      </c>
      <c r="B349" s="4">
        <v>27556.0</v>
      </c>
      <c r="C349" s="4" t="s">
        <v>300</v>
      </c>
      <c r="D349" s="4" t="str">
        <f t="shared" si="1"/>
        <v>XGBoost</v>
      </c>
      <c r="E349" s="4">
        <f t="shared" si="2"/>
        <v>4723.885714</v>
      </c>
      <c r="F349" s="4">
        <f t="shared" si="3"/>
        <v>1662.107937</v>
      </c>
      <c r="G349" s="4">
        <f t="shared" si="4"/>
        <v>4724</v>
      </c>
      <c r="H349" s="4" t="str">
        <f t="shared" si="5"/>
        <v>Binh thuong</v>
      </c>
    </row>
    <row r="350" ht="14.25" customHeight="1">
      <c r="A350" s="4" t="s">
        <v>366</v>
      </c>
      <c r="B350" s="4">
        <v>27549.0</v>
      </c>
      <c r="C350" s="4" t="s">
        <v>300</v>
      </c>
      <c r="D350" s="4" t="str">
        <f t="shared" si="1"/>
        <v>XGBoost</v>
      </c>
      <c r="E350" s="4">
        <f t="shared" si="2"/>
        <v>4722.685714</v>
      </c>
      <c r="F350" s="4">
        <f t="shared" si="3"/>
        <v>1661.685714</v>
      </c>
      <c r="G350" s="4">
        <f t="shared" si="4"/>
        <v>4723</v>
      </c>
      <c r="H350" s="4" t="str">
        <f t="shared" si="5"/>
        <v>Binh thuong</v>
      </c>
    </row>
    <row r="351" ht="14.25" customHeight="1">
      <c r="A351" s="4" t="s">
        <v>367</v>
      </c>
      <c r="B351" s="4">
        <v>27142.0</v>
      </c>
      <c r="C351" s="4" t="s">
        <v>300</v>
      </c>
      <c r="D351" s="4" t="str">
        <f t="shared" si="1"/>
        <v>XGBoost</v>
      </c>
      <c r="E351" s="4">
        <f t="shared" si="2"/>
        <v>4652.914286</v>
      </c>
      <c r="F351" s="4">
        <f t="shared" si="3"/>
        <v>1637.136508</v>
      </c>
      <c r="G351" s="4">
        <f t="shared" si="4"/>
        <v>4653</v>
      </c>
      <c r="H351" s="4" t="str">
        <f t="shared" si="5"/>
        <v>Binh thuong</v>
      </c>
    </row>
    <row r="352" ht="14.25" customHeight="1">
      <c r="A352" s="4" t="s">
        <v>368</v>
      </c>
      <c r="B352" s="4">
        <v>27091.0</v>
      </c>
      <c r="C352" s="4" t="s">
        <v>300</v>
      </c>
      <c r="D352" s="4" t="str">
        <f t="shared" si="1"/>
        <v>XGBoost</v>
      </c>
      <c r="E352" s="4">
        <f t="shared" si="2"/>
        <v>4644.171429</v>
      </c>
      <c r="F352" s="4">
        <f t="shared" si="3"/>
        <v>1634.060317</v>
      </c>
      <c r="G352" s="4">
        <f t="shared" si="4"/>
        <v>4644</v>
      </c>
      <c r="H352" s="4" t="str">
        <f t="shared" si="5"/>
        <v>Binh thuong</v>
      </c>
    </row>
    <row r="353" ht="14.25" customHeight="1">
      <c r="A353" s="4" t="s">
        <v>369</v>
      </c>
      <c r="B353" s="4">
        <v>26869.0</v>
      </c>
      <c r="C353" s="4" t="s">
        <v>300</v>
      </c>
      <c r="D353" s="4" t="str">
        <f t="shared" si="1"/>
        <v>XGBoost</v>
      </c>
      <c r="E353" s="4">
        <f t="shared" si="2"/>
        <v>4606.114286</v>
      </c>
      <c r="F353" s="4">
        <f t="shared" si="3"/>
        <v>1620.669841</v>
      </c>
      <c r="G353" s="4">
        <f t="shared" si="4"/>
        <v>4606</v>
      </c>
      <c r="H353" s="4" t="str">
        <f t="shared" si="5"/>
        <v>Binh thuong</v>
      </c>
    </row>
    <row r="354" ht="14.25" customHeight="1">
      <c r="A354" s="4" t="s">
        <v>370</v>
      </c>
      <c r="B354" s="4">
        <v>26672.0</v>
      </c>
      <c r="C354" s="4" t="s">
        <v>300</v>
      </c>
      <c r="D354" s="4" t="str">
        <f t="shared" si="1"/>
        <v>XGBoost</v>
      </c>
      <c r="E354" s="4">
        <f t="shared" si="2"/>
        <v>4572.342857</v>
      </c>
      <c r="F354" s="4">
        <f t="shared" si="3"/>
        <v>1608.787302</v>
      </c>
      <c r="G354" s="4">
        <f t="shared" si="4"/>
        <v>4572</v>
      </c>
      <c r="H354" s="4" t="str">
        <f t="shared" si="5"/>
        <v>Binh thuong</v>
      </c>
    </row>
    <row r="355" ht="14.25" customHeight="1">
      <c r="A355" s="4" t="s">
        <v>371</v>
      </c>
      <c r="B355" s="4">
        <v>25780.0</v>
      </c>
      <c r="C355" s="4" t="s">
        <v>300</v>
      </c>
      <c r="D355" s="4" t="str">
        <f t="shared" si="1"/>
        <v>XGBoost</v>
      </c>
      <c r="E355" s="4">
        <f t="shared" si="2"/>
        <v>4419.428571</v>
      </c>
      <c r="F355" s="4">
        <f t="shared" si="3"/>
        <v>1554.984127</v>
      </c>
      <c r="G355" s="4">
        <f t="shared" si="4"/>
        <v>4419</v>
      </c>
      <c r="H355" s="4" t="str">
        <f t="shared" si="5"/>
        <v>Binh thuong</v>
      </c>
    </row>
    <row r="356" ht="14.25" customHeight="1">
      <c r="A356" s="4" t="s">
        <v>372</v>
      </c>
      <c r="B356" s="4">
        <v>25518.0</v>
      </c>
      <c r="C356" s="4" t="s">
        <v>300</v>
      </c>
      <c r="D356" s="4" t="str">
        <f t="shared" si="1"/>
        <v>XGBoost</v>
      </c>
      <c r="E356" s="4">
        <f t="shared" si="2"/>
        <v>4374.514286</v>
      </c>
      <c r="F356" s="4">
        <f t="shared" si="3"/>
        <v>1539.180952</v>
      </c>
      <c r="G356" s="4">
        <f t="shared" si="4"/>
        <v>4375</v>
      </c>
      <c r="H356" s="4" t="str">
        <f t="shared" si="5"/>
        <v>Binh thuong</v>
      </c>
    </row>
    <row r="357" ht="14.25" customHeight="1">
      <c r="A357" s="4" t="s">
        <v>373</v>
      </c>
      <c r="B357" s="4">
        <v>25488.0</v>
      </c>
      <c r="C357" s="4" t="s">
        <v>300</v>
      </c>
      <c r="D357" s="4" t="str">
        <f t="shared" si="1"/>
        <v>XGBoost</v>
      </c>
      <c r="E357" s="4">
        <f t="shared" si="2"/>
        <v>4369.371429</v>
      </c>
      <c r="F357" s="4">
        <f t="shared" si="3"/>
        <v>1537.371429</v>
      </c>
      <c r="G357" s="4">
        <f t="shared" si="4"/>
        <v>4369</v>
      </c>
      <c r="H357" s="4" t="str">
        <f t="shared" si="5"/>
        <v>Binh thuong</v>
      </c>
    </row>
    <row r="358" ht="14.25" customHeight="1">
      <c r="A358" s="4" t="s">
        <v>374</v>
      </c>
      <c r="B358" s="4">
        <v>25442.0</v>
      </c>
      <c r="C358" s="4" t="s">
        <v>300</v>
      </c>
      <c r="D358" s="4" t="str">
        <f t="shared" si="1"/>
        <v>XGBoost</v>
      </c>
      <c r="E358" s="4">
        <f t="shared" si="2"/>
        <v>4361.485714</v>
      </c>
      <c r="F358" s="4">
        <f t="shared" si="3"/>
        <v>1534.596825</v>
      </c>
      <c r="G358" s="4">
        <f t="shared" si="4"/>
        <v>4361</v>
      </c>
      <c r="H358" s="4" t="str">
        <f t="shared" si="5"/>
        <v>Binh thuong</v>
      </c>
    </row>
    <row r="359" ht="14.25" customHeight="1">
      <c r="A359" s="4" t="s">
        <v>375</v>
      </c>
      <c r="B359" s="4">
        <v>25158.0</v>
      </c>
      <c r="C359" s="4" t="s">
        <v>300</v>
      </c>
      <c r="D359" s="4" t="str">
        <f t="shared" si="1"/>
        <v>XGBoost</v>
      </c>
      <c r="E359" s="4">
        <f t="shared" si="2"/>
        <v>4312.8</v>
      </c>
      <c r="F359" s="4">
        <f t="shared" si="3"/>
        <v>1517.466667</v>
      </c>
      <c r="G359" s="4">
        <f t="shared" si="4"/>
        <v>4313</v>
      </c>
      <c r="H359" s="4" t="str">
        <f t="shared" si="5"/>
        <v>Binh thuong</v>
      </c>
    </row>
    <row r="360" ht="14.25" customHeight="1">
      <c r="A360" s="4" t="s">
        <v>376</v>
      </c>
      <c r="B360" s="4">
        <v>25067.0</v>
      </c>
      <c r="C360" s="4" t="s">
        <v>300</v>
      </c>
      <c r="D360" s="4" t="str">
        <f t="shared" si="1"/>
        <v>XGBoost</v>
      </c>
      <c r="E360" s="4">
        <f t="shared" si="2"/>
        <v>4297.2</v>
      </c>
      <c r="F360" s="4">
        <f t="shared" si="3"/>
        <v>1511.977778</v>
      </c>
      <c r="G360" s="4">
        <f t="shared" si="4"/>
        <v>4297</v>
      </c>
      <c r="H360" s="4" t="str">
        <f t="shared" si="5"/>
        <v>Binh thuong</v>
      </c>
    </row>
    <row r="361" ht="14.25" customHeight="1">
      <c r="A361" s="4" t="s">
        <v>377</v>
      </c>
      <c r="B361" s="4">
        <v>24801.0</v>
      </c>
      <c r="C361" s="4" t="s">
        <v>300</v>
      </c>
      <c r="D361" s="4" t="str">
        <f t="shared" si="1"/>
        <v>XGBoost</v>
      </c>
      <c r="E361" s="4">
        <f t="shared" si="2"/>
        <v>4251.6</v>
      </c>
      <c r="F361" s="4">
        <f t="shared" si="3"/>
        <v>1495.933333</v>
      </c>
      <c r="G361" s="4">
        <f t="shared" si="4"/>
        <v>4252</v>
      </c>
      <c r="H361" s="4" t="str">
        <f t="shared" si="5"/>
        <v>Binh thuong</v>
      </c>
    </row>
    <row r="362" ht="14.25" customHeight="1">
      <c r="A362" s="4" t="s">
        <v>378</v>
      </c>
      <c r="B362" s="4">
        <v>24772.0</v>
      </c>
      <c r="C362" s="4" t="s">
        <v>300</v>
      </c>
      <c r="D362" s="4" t="str">
        <f t="shared" si="1"/>
        <v>XGBoost</v>
      </c>
      <c r="E362" s="4">
        <f t="shared" si="2"/>
        <v>4246.628571</v>
      </c>
      <c r="F362" s="4">
        <f t="shared" si="3"/>
        <v>1494.184127</v>
      </c>
      <c r="G362" s="4">
        <f t="shared" si="4"/>
        <v>4247</v>
      </c>
      <c r="H362" s="4" t="str">
        <f t="shared" si="5"/>
        <v>Binh thuong</v>
      </c>
    </row>
    <row r="363" ht="14.25" customHeight="1">
      <c r="A363" s="4" t="s">
        <v>379</v>
      </c>
      <c r="B363" s="4">
        <v>24673.0</v>
      </c>
      <c r="C363" s="4" t="s">
        <v>300</v>
      </c>
      <c r="D363" s="4" t="str">
        <f t="shared" si="1"/>
        <v>XGBoost</v>
      </c>
      <c r="E363" s="4">
        <f t="shared" si="2"/>
        <v>4229.657143</v>
      </c>
      <c r="F363" s="4">
        <f t="shared" si="3"/>
        <v>1488.212698</v>
      </c>
      <c r="G363" s="4">
        <f t="shared" si="4"/>
        <v>4230</v>
      </c>
      <c r="H363" s="4" t="str">
        <f t="shared" si="5"/>
        <v>Binh thuong</v>
      </c>
    </row>
    <row r="364" ht="14.25" customHeight="1">
      <c r="A364" s="4" t="s">
        <v>380</v>
      </c>
      <c r="B364" s="4">
        <v>24442.0</v>
      </c>
      <c r="C364" s="4" t="s">
        <v>300</v>
      </c>
      <c r="D364" s="4" t="str">
        <f t="shared" si="1"/>
        <v>XGBoost</v>
      </c>
      <c r="E364" s="4">
        <f t="shared" si="2"/>
        <v>4190.057143</v>
      </c>
      <c r="F364" s="4">
        <f t="shared" si="3"/>
        <v>1474.279365</v>
      </c>
      <c r="G364" s="4">
        <f t="shared" si="4"/>
        <v>4190</v>
      </c>
      <c r="H364" s="4" t="str">
        <f t="shared" si="5"/>
        <v>Binh thuong</v>
      </c>
    </row>
    <row r="365" ht="14.25" customHeight="1">
      <c r="A365" s="4" t="s">
        <v>381</v>
      </c>
      <c r="B365" s="4">
        <v>24392.0</v>
      </c>
      <c r="C365" s="4" t="s">
        <v>300</v>
      </c>
      <c r="D365" s="4" t="str">
        <f t="shared" si="1"/>
        <v>XGBoost</v>
      </c>
      <c r="E365" s="4">
        <f t="shared" si="2"/>
        <v>4181.485714</v>
      </c>
      <c r="F365" s="4">
        <f t="shared" si="3"/>
        <v>1471.263492</v>
      </c>
      <c r="G365" s="4">
        <f t="shared" si="4"/>
        <v>4181</v>
      </c>
      <c r="H365" s="4" t="str">
        <f t="shared" si="5"/>
        <v>Binh thuong</v>
      </c>
    </row>
    <row r="366" ht="14.25" customHeight="1">
      <c r="A366" s="4" t="s">
        <v>382</v>
      </c>
      <c r="B366" s="4">
        <v>24336.0</v>
      </c>
      <c r="C366" s="4" t="s">
        <v>300</v>
      </c>
      <c r="D366" s="4" t="str">
        <f t="shared" si="1"/>
        <v>XGBoost</v>
      </c>
      <c r="E366" s="4">
        <f t="shared" si="2"/>
        <v>4171.885714</v>
      </c>
      <c r="F366" s="4">
        <f t="shared" si="3"/>
        <v>1467.885714</v>
      </c>
      <c r="G366" s="4">
        <f t="shared" si="4"/>
        <v>4172</v>
      </c>
      <c r="H366" s="4" t="str">
        <f t="shared" si="5"/>
        <v>Binh thuong</v>
      </c>
    </row>
    <row r="367" ht="14.25" customHeight="1">
      <c r="A367" s="4" t="s">
        <v>383</v>
      </c>
      <c r="B367" s="4">
        <v>24310.0</v>
      </c>
      <c r="C367" s="4" t="s">
        <v>300</v>
      </c>
      <c r="D367" s="4" t="str">
        <f t="shared" si="1"/>
        <v>XGBoost</v>
      </c>
      <c r="E367" s="4">
        <f t="shared" si="2"/>
        <v>4167.428571</v>
      </c>
      <c r="F367" s="4">
        <f t="shared" si="3"/>
        <v>1466.31746</v>
      </c>
      <c r="G367" s="4">
        <f t="shared" si="4"/>
        <v>4167</v>
      </c>
      <c r="H367" s="4" t="str">
        <f t="shared" si="5"/>
        <v>Binh thuong</v>
      </c>
    </row>
    <row r="368" ht="14.25" customHeight="1">
      <c r="A368" s="4" t="s">
        <v>384</v>
      </c>
      <c r="B368" s="4">
        <v>23503.0</v>
      </c>
      <c r="C368" s="4" t="s">
        <v>300</v>
      </c>
      <c r="D368" s="4" t="str">
        <f t="shared" si="1"/>
        <v>XGBoost</v>
      </c>
      <c r="E368" s="4">
        <f t="shared" si="2"/>
        <v>4029.085714</v>
      </c>
      <c r="F368" s="4">
        <f t="shared" si="3"/>
        <v>1417.64127</v>
      </c>
      <c r="G368" s="4">
        <f t="shared" si="4"/>
        <v>4029</v>
      </c>
      <c r="H368" s="4" t="str">
        <f t="shared" si="5"/>
        <v>Binh thuong</v>
      </c>
    </row>
    <row r="369" ht="14.25" customHeight="1">
      <c r="A369" s="4" t="s">
        <v>385</v>
      </c>
      <c r="B369" s="4">
        <v>23232.0</v>
      </c>
      <c r="C369" s="4" t="s">
        <v>300</v>
      </c>
      <c r="D369" s="4" t="str">
        <f t="shared" si="1"/>
        <v>XGBoost</v>
      </c>
      <c r="E369" s="4">
        <f t="shared" si="2"/>
        <v>3982.628571</v>
      </c>
      <c r="F369" s="4">
        <f t="shared" si="3"/>
        <v>1401.295238</v>
      </c>
      <c r="G369" s="4">
        <f t="shared" si="4"/>
        <v>3983</v>
      </c>
      <c r="H369" s="4" t="str">
        <f t="shared" si="5"/>
        <v>Binh thuong</v>
      </c>
    </row>
    <row r="370" ht="14.25" customHeight="1">
      <c r="A370" s="4" t="s">
        <v>386</v>
      </c>
      <c r="B370" s="4">
        <v>23148.0</v>
      </c>
      <c r="C370" s="4" t="s">
        <v>300</v>
      </c>
      <c r="D370" s="4" t="str">
        <f t="shared" si="1"/>
        <v>XGBoost</v>
      </c>
      <c r="E370" s="4">
        <f t="shared" si="2"/>
        <v>3968.228571</v>
      </c>
      <c r="F370" s="4">
        <f t="shared" si="3"/>
        <v>1396.228571</v>
      </c>
      <c r="G370" s="4">
        <f t="shared" si="4"/>
        <v>3968</v>
      </c>
      <c r="H370" s="4" t="str">
        <f t="shared" si="5"/>
        <v>Binh thuong</v>
      </c>
    </row>
    <row r="371" ht="14.25" customHeight="1">
      <c r="A371" s="4" t="s">
        <v>387</v>
      </c>
      <c r="B371" s="4">
        <v>23139.0</v>
      </c>
      <c r="C371" s="4" t="s">
        <v>300</v>
      </c>
      <c r="D371" s="4" t="str">
        <f t="shared" si="1"/>
        <v>XGBoost</v>
      </c>
      <c r="E371" s="4">
        <f t="shared" si="2"/>
        <v>3966.685714</v>
      </c>
      <c r="F371" s="4">
        <f t="shared" si="3"/>
        <v>1395.685714</v>
      </c>
      <c r="G371" s="4">
        <f t="shared" si="4"/>
        <v>3967</v>
      </c>
      <c r="H371" s="4" t="str">
        <f t="shared" si="5"/>
        <v>Binh thuong</v>
      </c>
    </row>
    <row r="372" ht="14.25" customHeight="1">
      <c r="A372" s="4" t="s">
        <v>388</v>
      </c>
      <c r="B372" s="4">
        <v>22979.0</v>
      </c>
      <c r="C372" s="4" t="s">
        <v>300</v>
      </c>
      <c r="D372" s="4" t="str">
        <f t="shared" si="1"/>
        <v>XGBoost</v>
      </c>
      <c r="E372" s="4">
        <f t="shared" si="2"/>
        <v>3939.257143</v>
      </c>
      <c r="F372" s="4">
        <f t="shared" si="3"/>
        <v>1386.034921</v>
      </c>
      <c r="G372" s="4">
        <f t="shared" si="4"/>
        <v>3939</v>
      </c>
      <c r="H372" s="4" t="str">
        <f t="shared" si="5"/>
        <v>Binh thuong</v>
      </c>
    </row>
    <row r="373" ht="14.25" customHeight="1">
      <c r="A373" s="4" t="s">
        <v>389</v>
      </c>
      <c r="B373" s="4">
        <v>22948.0</v>
      </c>
      <c r="C373" s="4" t="s">
        <v>300</v>
      </c>
      <c r="D373" s="4" t="str">
        <f t="shared" si="1"/>
        <v>XGBoost</v>
      </c>
      <c r="E373" s="4">
        <f t="shared" si="2"/>
        <v>3933.942857</v>
      </c>
      <c r="F373" s="4">
        <f t="shared" si="3"/>
        <v>1384.165079</v>
      </c>
      <c r="G373" s="4">
        <f t="shared" si="4"/>
        <v>3934</v>
      </c>
      <c r="H373" s="4" t="str">
        <f t="shared" si="5"/>
        <v>Binh thuong</v>
      </c>
    </row>
    <row r="374" ht="14.25" customHeight="1">
      <c r="A374" s="4" t="s">
        <v>390</v>
      </c>
      <c r="B374" s="4">
        <v>22880.0</v>
      </c>
      <c r="C374" s="4" t="s">
        <v>300</v>
      </c>
      <c r="D374" s="4" t="str">
        <f t="shared" si="1"/>
        <v>XGBoost</v>
      </c>
      <c r="E374" s="4">
        <f t="shared" si="2"/>
        <v>3922.285714</v>
      </c>
      <c r="F374" s="4">
        <f t="shared" si="3"/>
        <v>1380.063492</v>
      </c>
      <c r="G374" s="4">
        <f t="shared" si="4"/>
        <v>3922</v>
      </c>
      <c r="H374" s="4" t="str">
        <f t="shared" si="5"/>
        <v>Binh thuong</v>
      </c>
    </row>
    <row r="375" ht="14.25" customHeight="1">
      <c r="A375" s="4" t="s">
        <v>391</v>
      </c>
      <c r="B375" s="4">
        <v>22797.0</v>
      </c>
      <c r="C375" s="4" t="s">
        <v>300</v>
      </c>
      <c r="D375" s="4" t="str">
        <f t="shared" si="1"/>
        <v>XGBoost</v>
      </c>
      <c r="E375" s="4">
        <f t="shared" si="2"/>
        <v>3908.057143</v>
      </c>
      <c r="F375" s="4">
        <f t="shared" si="3"/>
        <v>1375.057143</v>
      </c>
      <c r="G375" s="4">
        <f t="shared" si="4"/>
        <v>3908</v>
      </c>
      <c r="H375" s="4" t="str">
        <f t="shared" si="5"/>
        <v>Binh thuong</v>
      </c>
    </row>
    <row r="376" ht="14.25" customHeight="1">
      <c r="A376" s="4" t="s">
        <v>392</v>
      </c>
      <c r="B376" s="4">
        <v>22321.0</v>
      </c>
      <c r="C376" s="4" t="s">
        <v>300</v>
      </c>
      <c r="D376" s="4" t="str">
        <f t="shared" si="1"/>
        <v>XGBoost</v>
      </c>
      <c r="E376" s="4">
        <f t="shared" si="2"/>
        <v>3826.457143</v>
      </c>
      <c r="F376" s="4">
        <f t="shared" si="3"/>
        <v>1346.346032</v>
      </c>
      <c r="G376" s="4">
        <f t="shared" si="4"/>
        <v>3826</v>
      </c>
      <c r="H376" s="4" t="str">
        <f t="shared" si="5"/>
        <v>Binh thuong</v>
      </c>
    </row>
    <row r="377" ht="14.25" customHeight="1">
      <c r="A377" s="4" t="s">
        <v>393</v>
      </c>
      <c r="B377" s="4">
        <v>21901.0</v>
      </c>
      <c r="C377" s="4" t="s">
        <v>300</v>
      </c>
      <c r="D377" s="4" t="str">
        <f t="shared" si="1"/>
        <v>XGBoost</v>
      </c>
      <c r="E377" s="4">
        <f t="shared" si="2"/>
        <v>3754.457143</v>
      </c>
      <c r="F377" s="4">
        <f t="shared" si="3"/>
        <v>1321.012698</v>
      </c>
      <c r="G377" s="4">
        <f t="shared" si="4"/>
        <v>3754</v>
      </c>
      <c r="H377" s="4" t="str">
        <f t="shared" si="5"/>
        <v>Binh thuong</v>
      </c>
    </row>
    <row r="378" ht="14.25" customHeight="1">
      <c r="A378" s="4" t="s">
        <v>394</v>
      </c>
      <c r="B378" s="4">
        <v>21504.0</v>
      </c>
      <c r="C378" s="4" t="s">
        <v>300</v>
      </c>
      <c r="D378" s="4" t="str">
        <f t="shared" si="1"/>
        <v>XGBoost</v>
      </c>
      <c r="E378" s="4">
        <f t="shared" si="2"/>
        <v>3686.4</v>
      </c>
      <c r="F378" s="4">
        <f t="shared" si="3"/>
        <v>1297.066667</v>
      </c>
      <c r="G378" s="4">
        <f t="shared" si="4"/>
        <v>3686</v>
      </c>
      <c r="H378" s="4" t="str">
        <f t="shared" si="5"/>
        <v>Binh thuong</v>
      </c>
    </row>
    <row r="379" ht="14.25" customHeight="1">
      <c r="A379" s="4" t="s">
        <v>395</v>
      </c>
      <c r="B379" s="4">
        <v>21126.0</v>
      </c>
      <c r="C379" s="4" t="s">
        <v>300</v>
      </c>
      <c r="D379" s="4" t="str">
        <f t="shared" si="1"/>
        <v>XGBoost</v>
      </c>
      <c r="E379" s="4">
        <f t="shared" si="2"/>
        <v>3621.6</v>
      </c>
      <c r="F379" s="4">
        <f t="shared" si="3"/>
        <v>1274.266667</v>
      </c>
      <c r="G379" s="4">
        <f t="shared" si="4"/>
        <v>3622</v>
      </c>
      <c r="H379" s="4" t="str">
        <f t="shared" si="5"/>
        <v>Binh thuong</v>
      </c>
    </row>
    <row r="380" ht="14.25" customHeight="1">
      <c r="A380" s="4" t="s">
        <v>396</v>
      </c>
      <c r="B380" s="4">
        <v>20839.0</v>
      </c>
      <c r="C380" s="4" t="s">
        <v>300</v>
      </c>
      <c r="D380" s="4" t="str">
        <f t="shared" si="1"/>
        <v>XGBoost</v>
      </c>
      <c r="E380" s="4">
        <f t="shared" si="2"/>
        <v>3572.4</v>
      </c>
      <c r="F380" s="4">
        <f t="shared" si="3"/>
        <v>1256.955556</v>
      </c>
      <c r="G380" s="4">
        <f t="shared" si="4"/>
        <v>3572</v>
      </c>
      <c r="H380" s="4" t="str">
        <f t="shared" si="5"/>
        <v>Binh thuong</v>
      </c>
    </row>
    <row r="381" ht="14.25" customHeight="1">
      <c r="A381" s="4" t="s">
        <v>397</v>
      </c>
      <c r="B381" s="4">
        <v>20533.0</v>
      </c>
      <c r="C381" s="4" t="s">
        <v>300</v>
      </c>
      <c r="D381" s="4" t="str">
        <f t="shared" si="1"/>
        <v>XGBoost</v>
      </c>
      <c r="E381" s="4">
        <f t="shared" si="2"/>
        <v>3519.942857</v>
      </c>
      <c r="F381" s="4">
        <f t="shared" si="3"/>
        <v>1238.498413</v>
      </c>
      <c r="G381" s="4">
        <f t="shared" si="4"/>
        <v>3520</v>
      </c>
      <c r="H381" s="4" t="str">
        <f t="shared" si="5"/>
        <v>Binh thuong</v>
      </c>
    </row>
    <row r="382" ht="14.25" customHeight="1">
      <c r="A382" s="4" t="s">
        <v>398</v>
      </c>
      <c r="B382" s="4">
        <v>20352.0</v>
      </c>
      <c r="C382" s="4" t="s">
        <v>300</v>
      </c>
      <c r="D382" s="4" t="str">
        <f t="shared" si="1"/>
        <v>XGBoost</v>
      </c>
      <c r="E382" s="4">
        <f t="shared" si="2"/>
        <v>3488.914286</v>
      </c>
      <c r="F382" s="4">
        <f t="shared" si="3"/>
        <v>1227.580952</v>
      </c>
      <c r="G382" s="4">
        <f t="shared" si="4"/>
        <v>3489</v>
      </c>
      <c r="H382" s="4" t="str">
        <f t="shared" si="5"/>
        <v>Binh thuong</v>
      </c>
    </row>
    <row r="383" ht="14.25" customHeight="1">
      <c r="A383" s="4" t="s">
        <v>399</v>
      </c>
      <c r="B383" s="4">
        <v>20292.0</v>
      </c>
      <c r="C383" s="4" t="s">
        <v>300</v>
      </c>
      <c r="D383" s="4" t="str">
        <f t="shared" si="1"/>
        <v>XGBoost</v>
      </c>
      <c r="E383" s="4">
        <f t="shared" si="2"/>
        <v>3478.628571</v>
      </c>
      <c r="F383" s="4">
        <f t="shared" si="3"/>
        <v>1223.961905</v>
      </c>
      <c r="G383" s="4">
        <f t="shared" si="4"/>
        <v>3479</v>
      </c>
      <c r="H383" s="4" t="str">
        <f t="shared" si="5"/>
        <v>Binh thuong</v>
      </c>
    </row>
    <row r="384" ht="14.25" customHeight="1">
      <c r="A384" s="4" t="s">
        <v>400</v>
      </c>
      <c r="B384" s="4">
        <v>19960.0</v>
      </c>
      <c r="C384" s="4" t="s">
        <v>300</v>
      </c>
      <c r="D384" s="4" t="str">
        <f t="shared" si="1"/>
        <v>XGBoost</v>
      </c>
      <c r="E384" s="4">
        <f t="shared" si="2"/>
        <v>3421.714286</v>
      </c>
      <c r="F384" s="4">
        <f t="shared" si="3"/>
        <v>1203.936508</v>
      </c>
      <c r="G384" s="4">
        <f t="shared" si="4"/>
        <v>3422</v>
      </c>
      <c r="H384" s="4" t="str">
        <f t="shared" si="5"/>
        <v>Binh thuong</v>
      </c>
    </row>
    <row r="385" ht="14.25" customHeight="1">
      <c r="A385" s="4" t="s">
        <v>401</v>
      </c>
      <c r="B385" s="4">
        <v>19698.0</v>
      </c>
      <c r="C385" s="4" t="s">
        <v>300</v>
      </c>
      <c r="D385" s="4" t="str">
        <f t="shared" si="1"/>
        <v>XGBoost</v>
      </c>
      <c r="E385" s="4">
        <f t="shared" si="2"/>
        <v>3376.8</v>
      </c>
      <c r="F385" s="4">
        <f t="shared" si="3"/>
        <v>1188.133333</v>
      </c>
      <c r="G385" s="4">
        <f t="shared" si="4"/>
        <v>3377</v>
      </c>
      <c r="H385" s="4" t="str">
        <f t="shared" si="5"/>
        <v>Binh thuong</v>
      </c>
    </row>
    <row r="386" ht="14.25" customHeight="1">
      <c r="A386" s="4" t="s">
        <v>402</v>
      </c>
      <c r="B386" s="4">
        <v>19344.0</v>
      </c>
      <c r="C386" s="4" t="s">
        <v>300</v>
      </c>
      <c r="D386" s="4" t="str">
        <f t="shared" si="1"/>
        <v>XGBoost</v>
      </c>
      <c r="E386" s="4">
        <f t="shared" si="2"/>
        <v>3316.114286</v>
      </c>
      <c r="F386" s="4">
        <f t="shared" si="3"/>
        <v>1166.780952</v>
      </c>
      <c r="G386" s="4">
        <f t="shared" si="4"/>
        <v>3316</v>
      </c>
      <c r="H386" s="4" t="str">
        <f t="shared" si="5"/>
        <v>Binh thuong</v>
      </c>
    </row>
    <row r="387" ht="14.25" customHeight="1">
      <c r="A387" s="4" t="s">
        <v>403</v>
      </c>
      <c r="B387" s="4">
        <v>19251.0</v>
      </c>
      <c r="C387" s="4" t="s">
        <v>300</v>
      </c>
      <c r="D387" s="4" t="str">
        <f t="shared" si="1"/>
        <v>XGBoost</v>
      </c>
      <c r="E387" s="4">
        <f t="shared" si="2"/>
        <v>3300.171429</v>
      </c>
      <c r="F387" s="4">
        <f t="shared" si="3"/>
        <v>1161.171429</v>
      </c>
      <c r="G387" s="4">
        <f t="shared" si="4"/>
        <v>3300</v>
      </c>
      <c r="H387" s="4" t="str">
        <f t="shared" si="5"/>
        <v>Binh thuong</v>
      </c>
    </row>
    <row r="388" ht="14.25" customHeight="1">
      <c r="A388" s="4" t="s">
        <v>404</v>
      </c>
      <c r="B388" s="4">
        <v>19078.0</v>
      </c>
      <c r="C388" s="4" t="s">
        <v>300</v>
      </c>
      <c r="D388" s="4" t="str">
        <f t="shared" si="1"/>
        <v>XGBoost</v>
      </c>
      <c r="E388" s="4">
        <f t="shared" si="2"/>
        <v>3270.514286</v>
      </c>
      <c r="F388" s="4">
        <f t="shared" si="3"/>
        <v>1150.736508</v>
      </c>
      <c r="G388" s="4">
        <f t="shared" si="4"/>
        <v>3271</v>
      </c>
      <c r="H388" s="4" t="str">
        <f t="shared" si="5"/>
        <v>Binh thuong</v>
      </c>
    </row>
    <row r="389" ht="14.25" customHeight="1">
      <c r="A389" s="4" t="s">
        <v>405</v>
      </c>
      <c r="B389" s="4">
        <v>18750.0</v>
      </c>
      <c r="C389" s="4" t="s">
        <v>300</v>
      </c>
      <c r="D389" s="4" t="str">
        <f t="shared" si="1"/>
        <v>XGBoost</v>
      </c>
      <c r="E389" s="4">
        <f t="shared" si="2"/>
        <v>3214.285714</v>
      </c>
      <c r="F389" s="4">
        <f t="shared" si="3"/>
        <v>1130.952381</v>
      </c>
      <c r="G389" s="4">
        <f t="shared" si="4"/>
        <v>3214</v>
      </c>
      <c r="H389" s="4" t="str">
        <f t="shared" si="5"/>
        <v>Binh thuong</v>
      </c>
    </row>
    <row r="390" ht="14.25" customHeight="1">
      <c r="A390" s="4" t="s">
        <v>406</v>
      </c>
      <c r="B390" s="4">
        <v>18731.0</v>
      </c>
      <c r="C390" s="4" t="s">
        <v>300</v>
      </c>
      <c r="D390" s="4" t="str">
        <f t="shared" si="1"/>
        <v>XGBoost</v>
      </c>
      <c r="E390" s="4">
        <f t="shared" si="2"/>
        <v>3211.028571</v>
      </c>
      <c r="F390" s="4">
        <f t="shared" si="3"/>
        <v>1129.806349</v>
      </c>
      <c r="G390" s="4">
        <f t="shared" si="4"/>
        <v>3211</v>
      </c>
      <c r="H390" s="4" t="str">
        <f t="shared" si="5"/>
        <v>Binh thuong</v>
      </c>
    </row>
    <row r="391" ht="14.25" customHeight="1">
      <c r="A391" s="4" t="s">
        <v>407</v>
      </c>
      <c r="B391" s="4">
        <v>18651.0</v>
      </c>
      <c r="C391" s="4" t="s">
        <v>300</v>
      </c>
      <c r="D391" s="4" t="str">
        <f t="shared" si="1"/>
        <v>XGBoost</v>
      </c>
      <c r="E391" s="4">
        <f t="shared" si="2"/>
        <v>3197.314286</v>
      </c>
      <c r="F391" s="4">
        <f t="shared" si="3"/>
        <v>1124.980952</v>
      </c>
      <c r="G391" s="4">
        <f t="shared" si="4"/>
        <v>3197</v>
      </c>
      <c r="H391" s="4" t="str">
        <f t="shared" si="5"/>
        <v>Binh thuong</v>
      </c>
    </row>
    <row r="392" ht="14.25" customHeight="1">
      <c r="A392" s="4" t="s">
        <v>408</v>
      </c>
      <c r="B392" s="4">
        <v>18112.0</v>
      </c>
      <c r="C392" s="4" t="s">
        <v>300</v>
      </c>
      <c r="D392" s="4" t="str">
        <f t="shared" si="1"/>
        <v>XGBoost</v>
      </c>
      <c r="E392" s="4">
        <f t="shared" si="2"/>
        <v>3104.914286</v>
      </c>
      <c r="F392" s="4">
        <f t="shared" si="3"/>
        <v>1092.469841</v>
      </c>
      <c r="G392" s="4">
        <f t="shared" si="4"/>
        <v>3105</v>
      </c>
      <c r="H392" s="4" t="str">
        <f t="shared" si="5"/>
        <v>Binh thuong</v>
      </c>
    </row>
    <row r="393" ht="14.25" customHeight="1">
      <c r="A393" s="4" t="s">
        <v>409</v>
      </c>
      <c r="B393" s="4">
        <v>17900.0</v>
      </c>
      <c r="C393" s="4" t="s">
        <v>300</v>
      </c>
      <c r="D393" s="4" t="str">
        <f t="shared" si="1"/>
        <v>XGBoost</v>
      </c>
      <c r="E393" s="4">
        <f t="shared" si="2"/>
        <v>3068.571429</v>
      </c>
      <c r="F393" s="4">
        <f t="shared" si="3"/>
        <v>1079.68254</v>
      </c>
      <c r="G393" s="4">
        <f t="shared" si="4"/>
        <v>3069</v>
      </c>
      <c r="H393" s="4" t="str">
        <f t="shared" si="5"/>
        <v>Binh thuong</v>
      </c>
    </row>
    <row r="394" ht="14.25" customHeight="1">
      <c r="A394" s="4" t="s">
        <v>410</v>
      </c>
      <c r="B394" s="4">
        <v>17883.0</v>
      </c>
      <c r="C394" s="4" t="s">
        <v>300</v>
      </c>
      <c r="D394" s="4" t="str">
        <f t="shared" si="1"/>
        <v>XGBoost</v>
      </c>
      <c r="E394" s="4">
        <f t="shared" si="2"/>
        <v>3065.657143</v>
      </c>
      <c r="F394" s="4">
        <f t="shared" si="3"/>
        <v>1078.657143</v>
      </c>
      <c r="G394" s="4">
        <f t="shared" si="4"/>
        <v>3066</v>
      </c>
      <c r="H394" s="4" t="str">
        <f t="shared" si="5"/>
        <v>Binh thuong</v>
      </c>
    </row>
    <row r="395" ht="14.25" customHeight="1">
      <c r="A395" s="4" t="s">
        <v>411</v>
      </c>
      <c r="B395" s="4">
        <v>17814.0</v>
      </c>
      <c r="C395" s="4" t="s">
        <v>300</v>
      </c>
      <c r="D395" s="4" t="str">
        <f t="shared" si="1"/>
        <v>XGBoost</v>
      </c>
      <c r="E395" s="4">
        <f t="shared" si="2"/>
        <v>3053.828571</v>
      </c>
      <c r="F395" s="4">
        <f t="shared" si="3"/>
        <v>1074.495238</v>
      </c>
      <c r="G395" s="4">
        <f t="shared" si="4"/>
        <v>3054</v>
      </c>
      <c r="H395" s="4" t="str">
        <f t="shared" si="5"/>
        <v>Binh thuong</v>
      </c>
    </row>
    <row r="396" ht="14.25" customHeight="1">
      <c r="A396" s="4" t="s">
        <v>412</v>
      </c>
      <c r="B396" s="4">
        <v>17647.0</v>
      </c>
      <c r="C396" s="4" t="s">
        <v>300</v>
      </c>
      <c r="D396" s="4" t="str">
        <f t="shared" si="1"/>
        <v>XGBoost</v>
      </c>
      <c r="E396" s="4">
        <f t="shared" si="2"/>
        <v>3025.2</v>
      </c>
      <c r="F396" s="4">
        <f t="shared" si="3"/>
        <v>1064.422222</v>
      </c>
      <c r="G396" s="4">
        <f t="shared" si="4"/>
        <v>3025</v>
      </c>
      <c r="H396" s="4" t="str">
        <f t="shared" si="5"/>
        <v>Binh thuong</v>
      </c>
    </row>
    <row r="397" ht="14.25" customHeight="1">
      <c r="A397" s="4" t="s">
        <v>413</v>
      </c>
      <c r="B397" s="4">
        <v>17514.0</v>
      </c>
      <c r="C397" s="4" t="s">
        <v>300</v>
      </c>
      <c r="D397" s="4" t="str">
        <f t="shared" si="1"/>
        <v>XGBoost</v>
      </c>
      <c r="E397" s="4">
        <f t="shared" si="2"/>
        <v>3002.4</v>
      </c>
      <c r="F397" s="4">
        <f t="shared" si="3"/>
        <v>1056.4</v>
      </c>
      <c r="G397" s="4">
        <f t="shared" si="4"/>
        <v>3002</v>
      </c>
      <c r="H397" s="4" t="str">
        <f t="shared" si="5"/>
        <v>Binh thuong</v>
      </c>
    </row>
    <row r="398" ht="14.25" customHeight="1">
      <c r="A398" s="4" t="s">
        <v>414</v>
      </c>
      <c r="B398" s="4">
        <v>17469.0</v>
      </c>
      <c r="C398" s="4" t="s">
        <v>300</v>
      </c>
      <c r="D398" s="4" t="str">
        <f t="shared" si="1"/>
        <v>XGBoost</v>
      </c>
      <c r="E398" s="4">
        <f t="shared" si="2"/>
        <v>2994.685714</v>
      </c>
      <c r="F398" s="4">
        <f t="shared" si="3"/>
        <v>1053.685714</v>
      </c>
      <c r="G398" s="4">
        <f t="shared" si="4"/>
        <v>2995</v>
      </c>
      <c r="H398" s="4" t="str">
        <f t="shared" si="5"/>
        <v>Binh thuong</v>
      </c>
    </row>
    <row r="399" ht="14.25" customHeight="1">
      <c r="A399" s="4" t="s">
        <v>415</v>
      </c>
      <c r="B399" s="4">
        <v>17429.0</v>
      </c>
      <c r="C399" s="4" t="s">
        <v>300</v>
      </c>
      <c r="D399" s="4" t="str">
        <f t="shared" si="1"/>
        <v>XGBoost</v>
      </c>
      <c r="E399" s="4">
        <f t="shared" si="2"/>
        <v>2987.828571</v>
      </c>
      <c r="F399" s="4">
        <f t="shared" si="3"/>
        <v>1051.273016</v>
      </c>
      <c r="G399" s="4">
        <f t="shared" si="4"/>
        <v>2988</v>
      </c>
      <c r="H399" s="4" t="str">
        <f t="shared" si="5"/>
        <v>Binh thuong</v>
      </c>
    </row>
    <row r="400" ht="14.25" customHeight="1">
      <c r="A400" s="4" t="s">
        <v>416</v>
      </c>
      <c r="B400" s="4">
        <v>17394.0</v>
      </c>
      <c r="C400" s="4" t="s">
        <v>300</v>
      </c>
      <c r="D400" s="4" t="str">
        <f t="shared" si="1"/>
        <v>XGBoost</v>
      </c>
      <c r="E400" s="4">
        <f t="shared" si="2"/>
        <v>2981.828571</v>
      </c>
      <c r="F400" s="4">
        <f t="shared" si="3"/>
        <v>1049.161905</v>
      </c>
      <c r="G400" s="4">
        <f t="shared" si="4"/>
        <v>2982</v>
      </c>
      <c r="H400" s="4" t="str">
        <f t="shared" si="5"/>
        <v>Binh thuong</v>
      </c>
    </row>
    <row r="401" ht="14.25" customHeight="1">
      <c r="A401" s="4" t="s">
        <v>417</v>
      </c>
      <c r="B401" s="4">
        <v>17366.0</v>
      </c>
      <c r="C401" s="4" t="s">
        <v>300</v>
      </c>
      <c r="D401" s="4" t="str">
        <f t="shared" si="1"/>
        <v>XGBoost</v>
      </c>
      <c r="E401" s="4">
        <f t="shared" si="2"/>
        <v>2977.028571</v>
      </c>
      <c r="F401" s="4">
        <f t="shared" si="3"/>
        <v>1047.473016</v>
      </c>
      <c r="G401" s="4">
        <f t="shared" si="4"/>
        <v>2977</v>
      </c>
      <c r="H401" s="4" t="str">
        <f t="shared" si="5"/>
        <v>Binh thuong</v>
      </c>
    </row>
    <row r="402" ht="14.25" customHeight="1">
      <c r="A402" s="4" t="s">
        <v>418</v>
      </c>
      <c r="B402" s="4">
        <v>17345.0</v>
      </c>
      <c r="C402" s="4" t="s">
        <v>300</v>
      </c>
      <c r="D402" s="4" t="str">
        <f t="shared" si="1"/>
        <v>XGBoost</v>
      </c>
      <c r="E402" s="4">
        <f t="shared" si="2"/>
        <v>2973.428571</v>
      </c>
      <c r="F402" s="4">
        <f t="shared" si="3"/>
        <v>1046.206349</v>
      </c>
      <c r="G402" s="4">
        <f t="shared" si="4"/>
        <v>2973</v>
      </c>
      <c r="H402" s="4" t="str">
        <f t="shared" si="5"/>
        <v>Binh thuong</v>
      </c>
    </row>
    <row r="403" ht="14.25" customHeight="1">
      <c r="A403" s="4" t="s">
        <v>419</v>
      </c>
      <c r="B403" s="4">
        <v>17113.0</v>
      </c>
      <c r="C403" s="4" t="s">
        <v>300</v>
      </c>
      <c r="D403" s="4" t="str">
        <f t="shared" si="1"/>
        <v>XGBoost</v>
      </c>
      <c r="E403" s="4">
        <f t="shared" si="2"/>
        <v>2933.657143</v>
      </c>
      <c r="F403" s="4">
        <f t="shared" si="3"/>
        <v>1032.212698</v>
      </c>
      <c r="G403" s="4">
        <f t="shared" si="4"/>
        <v>2934</v>
      </c>
      <c r="H403" s="4" t="str">
        <f t="shared" si="5"/>
        <v>Binh thuong</v>
      </c>
    </row>
    <row r="404" ht="14.25" customHeight="1">
      <c r="A404" s="4" t="s">
        <v>420</v>
      </c>
      <c r="B404" s="4">
        <v>17038.0</v>
      </c>
      <c r="C404" s="4" t="s">
        <v>300</v>
      </c>
      <c r="D404" s="4" t="str">
        <f t="shared" si="1"/>
        <v>XGBoost</v>
      </c>
      <c r="E404" s="4">
        <f t="shared" si="2"/>
        <v>2920.8</v>
      </c>
      <c r="F404" s="4">
        <f t="shared" si="3"/>
        <v>1027.688889</v>
      </c>
      <c r="G404" s="4">
        <f t="shared" si="4"/>
        <v>2921</v>
      </c>
      <c r="H404" s="4" t="str">
        <f t="shared" si="5"/>
        <v>Binh thuong</v>
      </c>
    </row>
    <row r="405" ht="14.25" customHeight="1">
      <c r="A405" s="4" t="s">
        <v>421</v>
      </c>
      <c r="B405" s="4">
        <v>16984.0</v>
      </c>
      <c r="C405" s="4" t="s">
        <v>300</v>
      </c>
      <c r="D405" s="4" t="str">
        <f t="shared" si="1"/>
        <v>XGBoost</v>
      </c>
      <c r="E405" s="4">
        <f t="shared" si="2"/>
        <v>2911.542857</v>
      </c>
      <c r="F405" s="4">
        <f t="shared" si="3"/>
        <v>1024.431746</v>
      </c>
      <c r="G405" s="4">
        <f t="shared" si="4"/>
        <v>2912</v>
      </c>
      <c r="H405" s="4" t="str">
        <f t="shared" si="5"/>
        <v>Binh thuong</v>
      </c>
    </row>
    <row r="406" ht="14.25" customHeight="1">
      <c r="A406" s="4" t="s">
        <v>422</v>
      </c>
      <c r="B406" s="4">
        <v>16712.0</v>
      </c>
      <c r="C406" s="4" t="s">
        <v>300</v>
      </c>
      <c r="D406" s="4" t="str">
        <f t="shared" si="1"/>
        <v>XGBoost</v>
      </c>
      <c r="E406" s="4">
        <f t="shared" si="2"/>
        <v>2864.914286</v>
      </c>
      <c r="F406" s="4">
        <f t="shared" si="3"/>
        <v>1008.025397</v>
      </c>
      <c r="G406" s="4">
        <f t="shared" si="4"/>
        <v>2865</v>
      </c>
      <c r="H406" s="4" t="str">
        <f t="shared" si="5"/>
        <v>Binh thuong</v>
      </c>
    </row>
    <row r="407" ht="14.25" customHeight="1">
      <c r="A407" s="4" t="s">
        <v>423</v>
      </c>
      <c r="B407" s="4">
        <v>16658.0</v>
      </c>
      <c r="C407" s="4" t="s">
        <v>300</v>
      </c>
      <c r="D407" s="4" t="str">
        <f t="shared" si="1"/>
        <v>XGBoost</v>
      </c>
      <c r="E407" s="4">
        <f t="shared" si="2"/>
        <v>2855.657143</v>
      </c>
      <c r="F407" s="4">
        <f t="shared" si="3"/>
        <v>1004.768254</v>
      </c>
      <c r="G407" s="4">
        <f t="shared" si="4"/>
        <v>2856</v>
      </c>
      <c r="H407" s="4" t="str">
        <f t="shared" si="5"/>
        <v>Binh thuong</v>
      </c>
    </row>
    <row r="408" ht="14.25" customHeight="1">
      <c r="A408" s="4" t="s">
        <v>424</v>
      </c>
      <c r="B408" s="4">
        <v>16587.0</v>
      </c>
      <c r="C408" s="4" t="s">
        <v>300</v>
      </c>
      <c r="D408" s="4" t="str">
        <f t="shared" si="1"/>
        <v>XGBoost</v>
      </c>
      <c r="E408" s="4">
        <f t="shared" si="2"/>
        <v>2843.485714</v>
      </c>
      <c r="F408" s="4">
        <f t="shared" si="3"/>
        <v>1000.485714</v>
      </c>
      <c r="G408" s="4">
        <f t="shared" si="4"/>
        <v>2843</v>
      </c>
      <c r="H408" s="4" t="str">
        <f t="shared" si="5"/>
        <v>Binh thuong</v>
      </c>
    </row>
    <row r="409" ht="14.25" customHeight="1">
      <c r="A409" s="4" t="s">
        <v>425</v>
      </c>
      <c r="B409" s="4">
        <v>16547.0</v>
      </c>
      <c r="C409" s="4" t="s">
        <v>300</v>
      </c>
      <c r="D409" s="4" t="str">
        <f t="shared" si="1"/>
        <v>XGBoost</v>
      </c>
      <c r="E409" s="4">
        <f t="shared" si="2"/>
        <v>2836.628571</v>
      </c>
      <c r="F409" s="4">
        <f t="shared" si="3"/>
        <v>998.0730159</v>
      </c>
      <c r="G409" s="4">
        <f t="shared" si="4"/>
        <v>2837</v>
      </c>
      <c r="H409" s="4" t="str">
        <f t="shared" si="5"/>
        <v>Binh thuong</v>
      </c>
    </row>
    <row r="410" ht="14.25" customHeight="1">
      <c r="A410" s="4" t="s">
        <v>426</v>
      </c>
      <c r="B410" s="4">
        <v>16298.0</v>
      </c>
      <c r="C410" s="4" t="s">
        <v>300</v>
      </c>
      <c r="D410" s="4" t="str">
        <f t="shared" si="1"/>
        <v>XGBoost</v>
      </c>
      <c r="E410" s="4">
        <f t="shared" si="2"/>
        <v>2793.942857</v>
      </c>
      <c r="F410" s="4">
        <f t="shared" si="3"/>
        <v>983.0539683</v>
      </c>
      <c r="G410" s="4">
        <f t="shared" si="4"/>
        <v>2794</v>
      </c>
      <c r="H410" s="4" t="str">
        <f t="shared" si="5"/>
        <v>Binh thuong</v>
      </c>
    </row>
    <row r="411" ht="14.25" customHeight="1">
      <c r="A411" s="4" t="s">
        <v>427</v>
      </c>
      <c r="B411" s="4">
        <v>16269.0</v>
      </c>
      <c r="C411" s="4" t="s">
        <v>300</v>
      </c>
      <c r="D411" s="4" t="str">
        <f t="shared" si="1"/>
        <v>XGBoost</v>
      </c>
      <c r="E411" s="4">
        <f t="shared" si="2"/>
        <v>2788.971429</v>
      </c>
      <c r="F411" s="4">
        <f t="shared" si="3"/>
        <v>981.3047619</v>
      </c>
      <c r="G411" s="4">
        <f t="shared" si="4"/>
        <v>2789</v>
      </c>
      <c r="H411" s="4" t="str">
        <f t="shared" si="5"/>
        <v>Binh thuong</v>
      </c>
    </row>
    <row r="412" ht="14.25" customHeight="1">
      <c r="A412" s="4" t="s">
        <v>428</v>
      </c>
      <c r="B412" s="4">
        <v>16261.0</v>
      </c>
      <c r="C412" s="4" t="s">
        <v>300</v>
      </c>
      <c r="D412" s="4" t="str">
        <f t="shared" si="1"/>
        <v>XGBoost</v>
      </c>
      <c r="E412" s="4">
        <f t="shared" si="2"/>
        <v>2787.6</v>
      </c>
      <c r="F412" s="4">
        <f t="shared" si="3"/>
        <v>980.8222222</v>
      </c>
      <c r="G412" s="4">
        <f t="shared" si="4"/>
        <v>2788</v>
      </c>
      <c r="H412" s="4" t="str">
        <f t="shared" si="5"/>
        <v>Binh thuong</v>
      </c>
    </row>
    <row r="413" ht="14.25" customHeight="1">
      <c r="A413" s="4" t="s">
        <v>429</v>
      </c>
      <c r="B413" s="4">
        <v>16197.0</v>
      </c>
      <c r="C413" s="4" t="s">
        <v>300</v>
      </c>
      <c r="D413" s="4" t="str">
        <f t="shared" si="1"/>
        <v>XGBoost</v>
      </c>
      <c r="E413" s="4">
        <f t="shared" si="2"/>
        <v>2776.628571</v>
      </c>
      <c r="F413" s="4">
        <f t="shared" si="3"/>
        <v>976.9619048</v>
      </c>
      <c r="G413" s="4">
        <f t="shared" si="4"/>
        <v>2777</v>
      </c>
      <c r="H413" s="4" t="str">
        <f t="shared" si="5"/>
        <v>Binh thuong</v>
      </c>
    </row>
    <row r="414" ht="14.25" customHeight="1">
      <c r="A414" s="4" t="s">
        <v>430</v>
      </c>
      <c r="B414" s="4">
        <v>16178.0</v>
      </c>
      <c r="C414" s="4" t="s">
        <v>300</v>
      </c>
      <c r="D414" s="4" t="str">
        <f t="shared" si="1"/>
        <v>XGBoost</v>
      </c>
      <c r="E414" s="4">
        <f t="shared" si="2"/>
        <v>2773.371429</v>
      </c>
      <c r="F414" s="4">
        <f t="shared" si="3"/>
        <v>975.815873</v>
      </c>
      <c r="G414" s="4">
        <f t="shared" si="4"/>
        <v>2773</v>
      </c>
      <c r="H414" s="4" t="str">
        <f t="shared" si="5"/>
        <v>Binh thuong</v>
      </c>
    </row>
    <row r="415" ht="14.25" customHeight="1">
      <c r="A415" s="4" t="s">
        <v>431</v>
      </c>
      <c r="B415" s="4">
        <v>16132.0</v>
      </c>
      <c r="C415" s="4" t="s">
        <v>300</v>
      </c>
      <c r="D415" s="4" t="str">
        <f t="shared" si="1"/>
        <v>XGBoost</v>
      </c>
      <c r="E415" s="4">
        <f t="shared" si="2"/>
        <v>2765.485714</v>
      </c>
      <c r="F415" s="4">
        <f t="shared" si="3"/>
        <v>973.0412698</v>
      </c>
      <c r="G415" s="4">
        <f t="shared" si="4"/>
        <v>2765</v>
      </c>
      <c r="H415" s="4" t="str">
        <f t="shared" si="5"/>
        <v>Binh thuong</v>
      </c>
    </row>
    <row r="416" ht="14.25" customHeight="1">
      <c r="A416" s="4" t="s">
        <v>432</v>
      </c>
      <c r="B416" s="4">
        <v>16011.0</v>
      </c>
      <c r="C416" s="4" t="s">
        <v>300</v>
      </c>
      <c r="D416" s="4" t="str">
        <f t="shared" si="1"/>
        <v>XGBoost</v>
      </c>
      <c r="E416" s="4">
        <f t="shared" si="2"/>
        <v>2744.742857</v>
      </c>
      <c r="F416" s="4">
        <f t="shared" si="3"/>
        <v>965.7428571</v>
      </c>
      <c r="G416" s="4">
        <f t="shared" si="4"/>
        <v>2745</v>
      </c>
      <c r="H416" s="4" t="str">
        <f t="shared" si="5"/>
        <v>Binh thuong</v>
      </c>
    </row>
    <row r="417" ht="14.25" customHeight="1">
      <c r="A417" s="4" t="s">
        <v>433</v>
      </c>
      <c r="B417" s="4">
        <v>15866.0</v>
      </c>
      <c r="C417" s="4" t="s">
        <v>300</v>
      </c>
      <c r="D417" s="4" t="str">
        <f t="shared" si="1"/>
        <v>XGBoost</v>
      </c>
      <c r="E417" s="4">
        <f t="shared" si="2"/>
        <v>2719.885714</v>
      </c>
      <c r="F417" s="4">
        <f t="shared" si="3"/>
        <v>956.9968254</v>
      </c>
      <c r="G417" s="4">
        <f t="shared" si="4"/>
        <v>2720</v>
      </c>
      <c r="H417" s="4" t="str">
        <f t="shared" si="5"/>
        <v>Binh thuong</v>
      </c>
    </row>
    <row r="418" ht="14.25" customHeight="1">
      <c r="A418" s="4" t="s">
        <v>434</v>
      </c>
      <c r="B418" s="4">
        <v>15780.0</v>
      </c>
      <c r="C418" s="4" t="s">
        <v>300</v>
      </c>
      <c r="D418" s="4" t="str">
        <f t="shared" si="1"/>
        <v>XGBoost</v>
      </c>
      <c r="E418" s="4">
        <f t="shared" si="2"/>
        <v>2705.142857</v>
      </c>
      <c r="F418" s="4">
        <f t="shared" si="3"/>
        <v>951.8095238</v>
      </c>
      <c r="G418" s="4">
        <f t="shared" si="4"/>
        <v>2705</v>
      </c>
      <c r="H418" s="4" t="str">
        <f t="shared" si="5"/>
        <v>Binh thuong</v>
      </c>
    </row>
    <row r="419" ht="14.25" customHeight="1">
      <c r="A419" s="4" t="s">
        <v>435</v>
      </c>
      <c r="B419" s="4">
        <v>15724.0</v>
      </c>
      <c r="C419" s="4" t="s">
        <v>300</v>
      </c>
      <c r="D419" s="4" t="str">
        <f t="shared" si="1"/>
        <v>XGBoost</v>
      </c>
      <c r="E419" s="4">
        <f t="shared" si="2"/>
        <v>2695.542857</v>
      </c>
      <c r="F419" s="4">
        <f t="shared" si="3"/>
        <v>948.431746</v>
      </c>
      <c r="G419" s="4">
        <f t="shared" si="4"/>
        <v>2696</v>
      </c>
      <c r="H419" s="4" t="str">
        <f t="shared" si="5"/>
        <v>Binh thuong</v>
      </c>
    </row>
    <row r="420" ht="14.25" customHeight="1">
      <c r="A420" s="4" t="s">
        <v>436</v>
      </c>
      <c r="B420" s="4">
        <v>15552.0</v>
      </c>
      <c r="C420" s="4" t="s">
        <v>300</v>
      </c>
      <c r="D420" s="4" t="str">
        <f t="shared" si="1"/>
        <v>XGBoost</v>
      </c>
      <c r="E420" s="4">
        <f t="shared" si="2"/>
        <v>2666.057143</v>
      </c>
      <c r="F420" s="4">
        <f t="shared" si="3"/>
        <v>938.0571429</v>
      </c>
      <c r="G420" s="4">
        <f t="shared" si="4"/>
        <v>2666</v>
      </c>
      <c r="H420" s="4" t="str">
        <f t="shared" si="5"/>
        <v>Binh thuong</v>
      </c>
    </row>
    <row r="421" ht="14.25" customHeight="1">
      <c r="A421" s="4" t="s">
        <v>437</v>
      </c>
      <c r="B421" s="4">
        <v>15465.0</v>
      </c>
      <c r="C421" s="4" t="s">
        <v>300</v>
      </c>
      <c r="D421" s="4" t="str">
        <f t="shared" si="1"/>
        <v>XGBoost</v>
      </c>
      <c r="E421" s="4">
        <f t="shared" si="2"/>
        <v>2651.142857</v>
      </c>
      <c r="F421" s="4">
        <f t="shared" si="3"/>
        <v>932.8095238</v>
      </c>
      <c r="G421" s="4">
        <f t="shared" si="4"/>
        <v>2651</v>
      </c>
      <c r="H421" s="4" t="str">
        <f t="shared" si="5"/>
        <v>Binh thuong</v>
      </c>
    </row>
    <row r="422" ht="14.25" customHeight="1">
      <c r="A422" s="4" t="s">
        <v>438</v>
      </c>
      <c r="B422" s="4">
        <v>15432.0</v>
      </c>
      <c r="C422" s="4" t="s">
        <v>300</v>
      </c>
      <c r="D422" s="4" t="str">
        <f t="shared" si="1"/>
        <v>XGBoost</v>
      </c>
      <c r="E422" s="4">
        <f t="shared" si="2"/>
        <v>2645.485714</v>
      </c>
      <c r="F422" s="4">
        <f t="shared" si="3"/>
        <v>930.8190476</v>
      </c>
      <c r="G422" s="4">
        <f t="shared" si="4"/>
        <v>2645</v>
      </c>
      <c r="H422" s="4" t="str">
        <f t="shared" si="5"/>
        <v>Binh thuong</v>
      </c>
    </row>
    <row r="423" ht="14.25" customHeight="1">
      <c r="A423" s="4" t="s">
        <v>439</v>
      </c>
      <c r="B423" s="4">
        <v>15323.0</v>
      </c>
      <c r="C423" s="4" t="s">
        <v>300</v>
      </c>
      <c r="D423" s="4" t="str">
        <f t="shared" si="1"/>
        <v>XGBoost</v>
      </c>
      <c r="E423" s="4">
        <f t="shared" si="2"/>
        <v>2626.8</v>
      </c>
      <c r="F423" s="4">
        <f t="shared" si="3"/>
        <v>924.2444444</v>
      </c>
      <c r="G423" s="4">
        <f t="shared" si="4"/>
        <v>2627</v>
      </c>
      <c r="H423" s="4" t="str">
        <f t="shared" si="5"/>
        <v>Binh thuong</v>
      </c>
    </row>
    <row r="424" ht="14.25" customHeight="1">
      <c r="A424" s="4" t="s">
        <v>440</v>
      </c>
      <c r="B424" s="4">
        <v>15192.0</v>
      </c>
      <c r="C424" s="4" t="s">
        <v>300</v>
      </c>
      <c r="D424" s="4" t="str">
        <f t="shared" si="1"/>
        <v>XGBoost</v>
      </c>
      <c r="E424" s="4">
        <f t="shared" si="2"/>
        <v>2604.342857</v>
      </c>
      <c r="F424" s="4">
        <f t="shared" si="3"/>
        <v>916.3428571</v>
      </c>
      <c r="G424" s="4">
        <f t="shared" si="4"/>
        <v>2604</v>
      </c>
      <c r="H424" s="4" t="str">
        <f t="shared" si="5"/>
        <v>Binh thuong</v>
      </c>
    </row>
    <row r="425" ht="14.25" customHeight="1">
      <c r="A425" s="4" t="s">
        <v>441</v>
      </c>
      <c r="B425" s="4">
        <v>15139.0</v>
      </c>
      <c r="C425" s="4" t="s">
        <v>300</v>
      </c>
      <c r="D425" s="4" t="str">
        <f t="shared" si="1"/>
        <v>XGBoost</v>
      </c>
      <c r="E425" s="4">
        <f t="shared" si="2"/>
        <v>2595.257143</v>
      </c>
      <c r="F425" s="4">
        <f t="shared" si="3"/>
        <v>913.1460317</v>
      </c>
      <c r="G425" s="4">
        <f t="shared" si="4"/>
        <v>2595</v>
      </c>
      <c r="H425" s="4" t="str">
        <f t="shared" si="5"/>
        <v>Binh thuong</v>
      </c>
    </row>
    <row r="426" ht="14.25" customHeight="1">
      <c r="A426" s="4" t="s">
        <v>442</v>
      </c>
      <c r="B426" s="4">
        <v>15065.0</v>
      </c>
      <c r="C426" s="4" t="s">
        <v>300</v>
      </c>
      <c r="D426" s="4" t="str">
        <f t="shared" si="1"/>
        <v>XGBoost</v>
      </c>
      <c r="E426" s="4">
        <f t="shared" si="2"/>
        <v>2582.571429</v>
      </c>
      <c r="F426" s="4">
        <f t="shared" si="3"/>
        <v>908.6825397</v>
      </c>
      <c r="G426" s="4">
        <f t="shared" si="4"/>
        <v>2583</v>
      </c>
      <c r="H426" s="4" t="str">
        <f t="shared" si="5"/>
        <v>Binh thuong</v>
      </c>
    </row>
    <row r="427" ht="14.25" customHeight="1">
      <c r="A427" s="4" t="s">
        <v>443</v>
      </c>
      <c r="B427" s="4">
        <v>14922.0</v>
      </c>
      <c r="C427" s="4" t="s">
        <v>300</v>
      </c>
      <c r="D427" s="4" t="str">
        <f t="shared" si="1"/>
        <v>XGBoost</v>
      </c>
      <c r="E427" s="4">
        <f t="shared" si="2"/>
        <v>2558.057143</v>
      </c>
      <c r="F427" s="4">
        <f t="shared" si="3"/>
        <v>900.0571429</v>
      </c>
      <c r="G427" s="4">
        <f t="shared" si="4"/>
        <v>2558</v>
      </c>
      <c r="H427" s="4" t="str">
        <f t="shared" si="5"/>
        <v>Binh thuong</v>
      </c>
    </row>
    <row r="428" ht="14.25" customHeight="1">
      <c r="A428" s="4" t="s">
        <v>444</v>
      </c>
      <c r="B428" s="4">
        <v>14920.0</v>
      </c>
      <c r="C428" s="4" t="s">
        <v>300</v>
      </c>
      <c r="D428" s="4" t="str">
        <f t="shared" si="1"/>
        <v>XGBoost</v>
      </c>
      <c r="E428" s="4">
        <f t="shared" si="2"/>
        <v>2557.714286</v>
      </c>
      <c r="F428" s="4">
        <f t="shared" si="3"/>
        <v>899.9365079</v>
      </c>
      <c r="G428" s="4">
        <f t="shared" si="4"/>
        <v>2558</v>
      </c>
      <c r="H428" s="4" t="str">
        <f t="shared" si="5"/>
        <v>Binh thuong</v>
      </c>
    </row>
    <row r="429" ht="14.25" customHeight="1">
      <c r="A429" s="4" t="s">
        <v>445</v>
      </c>
      <c r="B429" s="4">
        <v>14902.0</v>
      </c>
      <c r="C429" s="4" t="s">
        <v>300</v>
      </c>
      <c r="D429" s="4" t="str">
        <f t="shared" si="1"/>
        <v>XGBoost</v>
      </c>
      <c r="E429" s="4">
        <f t="shared" si="2"/>
        <v>2554.628571</v>
      </c>
      <c r="F429" s="4">
        <f t="shared" si="3"/>
        <v>898.8507937</v>
      </c>
      <c r="G429" s="4">
        <f t="shared" si="4"/>
        <v>2555</v>
      </c>
      <c r="H429" s="4" t="str">
        <f t="shared" si="5"/>
        <v>Binh thuong</v>
      </c>
    </row>
    <row r="430" ht="14.25" customHeight="1">
      <c r="A430" s="4" t="s">
        <v>446</v>
      </c>
      <c r="B430" s="4">
        <v>14789.0</v>
      </c>
      <c r="C430" s="4" t="s">
        <v>300</v>
      </c>
      <c r="D430" s="4" t="str">
        <f t="shared" si="1"/>
        <v>XGBoost</v>
      </c>
      <c r="E430" s="4">
        <f t="shared" si="2"/>
        <v>2535.257143</v>
      </c>
      <c r="F430" s="4">
        <f t="shared" si="3"/>
        <v>892.0349206</v>
      </c>
      <c r="G430" s="4">
        <f t="shared" si="4"/>
        <v>2535</v>
      </c>
      <c r="H430" s="4" t="str">
        <f t="shared" si="5"/>
        <v>Binh thuong</v>
      </c>
    </row>
    <row r="431" ht="14.25" customHeight="1">
      <c r="A431" s="4" t="s">
        <v>447</v>
      </c>
      <c r="B431" s="4">
        <v>14587.0</v>
      </c>
      <c r="C431" s="4" t="s">
        <v>300</v>
      </c>
      <c r="D431" s="4" t="str">
        <f t="shared" si="1"/>
        <v>XGBoost</v>
      </c>
      <c r="E431" s="4">
        <f t="shared" si="2"/>
        <v>2500.628571</v>
      </c>
      <c r="F431" s="4">
        <f t="shared" si="3"/>
        <v>879.8507937</v>
      </c>
      <c r="G431" s="4">
        <f t="shared" si="4"/>
        <v>2501</v>
      </c>
      <c r="H431" s="4" t="str">
        <f t="shared" si="5"/>
        <v>Binh thuong</v>
      </c>
    </row>
    <row r="432" ht="14.25" customHeight="1">
      <c r="A432" s="4" t="s">
        <v>448</v>
      </c>
      <c r="B432" s="4">
        <v>14548.0</v>
      </c>
      <c r="C432" s="4" t="s">
        <v>300</v>
      </c>
      <c r="D432" s="4" t="str">
        <f t="shared" si="1"/>
        <v>XGBoost</v>
      </c>
      <c r="E432" s="4">
        <f t="shared" si="2"/>
        <v>2493.942857</v>
      </c>
      <c r="F432" s="4">
        <f t="shared" si="3"/>
        <v>877.4984127</v>
      </c>
      <c r="G432" s="4">
        <f t="shared" si="4"/>
        <v>2494</v>
      </c>
      <c r="H432" s="4" t="str">
        <f t="shared" si="5"/>
        <v>Binh thuong</v>
      </c>
    </row>
    <row r="433" ht="14.25" customHeight="1">
      <c r="A433" s="4" t="s">
        <v>449</v>
      </c>
      <c r="B433" s="4">
        <v>13959.0</v>
      </c>
      <c r="C433" s="4" t="s">
        <v>300</v>
      </c>
      <c r="D433" s="4" t="str">
        <f t="shared" si="1"/>
        <v>XGBoost</v>
      </c>
      <c r="E433" s="4">
        <f t="shared" si="2"/>
        <v>2392.971429</v>
      </c>
      <c r="F433" s="4">
        <f t="shared" si="3"/>
        <v>841.9714286</v>
      </c>
      <c r="G433" s="4">
        <f t="shared" si="4"/>
        <v>2393</v>
      </c>
      <c r="H433" s="4" t="str">
        <f t="shared" si="5"/>
        <v>Binh thuong</v>
      </c>
    </row>
    <row r="434" ht="14.25" customHeight="1">
      <c r="A434" s="4" t="s">
        <v>450</v>
      </c>
      <c r="B434" s="4">
        <v>13918.0</v>
      </c>
      <c r="C434" s="4" t="s">
        <v>300</v>
      </c>
      <c r="D434" s="4" t="str">
        <f t="shared" si="1"/>
        <v>XGBoost</v>
      </c>
      <c r="E434" s="4">
        <f t="shared" si="2"/>
        <v>2385.942857</v>
      </c>
      <c r="F434" s="4">
        <f t="shared" si="3"/>
        <v>839.4984127</v>
      </c>
      <c r="G434" s="4">
        <f t="shared" si="4"/>
        <v>2386</v>
      </c>
      <c r="H434" s="4" t="str">
        <f t="shared" si="5"/>
        <v>Binh thuong</v>
      </c>
    </row>
    <row r="435" ht="14.25" customHeight="1">
      <c r="A435" s="4" t="s">
        <v>451</v>
      </c>
      <c r="B435" s="4">
        <v>13815.0</v>
      </c>
      <c r="C435" s="4" t="s">
        <v>300</v>
      </c>
      <c r="D435" s="4" t="str">
        <f t="shared" si="1"/>
        <v>XGBoost</v>
      </c>
      <c r="E435" s="4">
        <f t="shared" si="2"/>
        <v>2368.285714</v>
      </c>
      <c r="F435" s="4">
        <f t="shared" si="3"/>
        <v>833.2857143</v>
      </c>
      <c r="G435" s="4">
        <f t="shared" si="4"/>
        <v>2368</v>
      </c>
      <c r="H435" s="4" t="str">
        <f t="shared" si="5"/>
        <v>Binh thuong</v>
      </c>
    </row>
    <row r="436" ht="14.25" customHeight="1">
      <c r="A436" s="4" t="s">
        <v>452</v>
      </c>
      <c r="B436" s="4">
        <v>13640.0</v>
      </c>
      <c r="C436" s="4" t="s">
        <v>300</v>
      </c>
      <c r="D436" s="4" t="str">
        <f t="shared" si="1"/>
        <v>XGBoost</v>
      </c>
      <c r="E436" s="4">
        <f t="shared" si="2"/>
        <v>2338.285714</v>
      </c>
      <c r="F436" s="4">
        <f t="shared" si="3"/>
        <v>822.7301587</v>
      </c>
      <c r="G436" s="4">
        <f t="shared" si="4"/>
        <v>2338</v>
      </c>
      <c r="H436" s="4" t="str">
        <f t="shared" si="5"/>
        <v>Binh thuong</v>
      </c>
    </row>
    <row r="437" ht="14.25" customHeight="1">
      <c r="A437" s="4" t="s">
        <v>453</v>
      </c>
      <c r="B437" s="4">
        <v>13546.0</v>
      </c>
      <c r="C437" s="4" t="s">
        <v>300</v>
      </c>
      <c r="D437" s="4" t="str">
        <f t="shared" si="1"/>
        <v>XGBoost</v>
      </c>
      <c r="E437" s="4">
        <f t="shared" si="2"/>
        <v>2322.171429</v>
      </c>
      <c r="F437" s="4">
        <f t="shared" si="3"/>
        <v>817.0603175</v>
      </c>
      <c r="G437" s="4">
        <f t="shared" si="4"/>
        <v>2322</v>
      </c>
      <c r="H437" s="4" t="str">
        <f t="shared" si="5"/>
        <v>Binh thuong</v>
      </c>
    </row>
    <row r="438" ht="14.25" customHeight="1">
      <c r="A438" s="4" t="s">
        <v>454</v>
      </c>
      <c r="B438" s="4">
        <v>13332.0</v>
      </c>
      <c r="C438" s="4" t="s">
        <v>300</v>
      </c>
      <c r="D438" s="4" t="str">
        <f t="shared" si="1"/>
        <v>XGBoost</v>
      </c>
      <c r="E438" s="4">
        <f t="shared" si="2"/>
        <v>2285.485714</v>
      </c>
      <c r="F438" s="4">
        <f t="shared" si="3"/>
        <v>804.152381</v>
      </c>
      <c r="G438" s="4">
        <f t="shared" si="4"/>
        <v>2285</v>
      </c>
      <c r="H438" s="4" t="str">
        <f t="shared" si="5"/>
        <v>Binh thuong</v>
      </c>
    </row>
    <row r="439" ht="14.25" customHeight="1">
      <c r="A439" s="4" t="s">
        <v>455</v>
      </c>
      <c r="B439" s="4">
        <v>13221.0</v>
      </c>
      <c r="C439" s="4" t="s">
        <v>300</v>
      </c>
      <c r="D439" s="4" t="str">
        <f t="shared" si="1"/>
        <v>XGBoost</v>
      </c>
      <c r="E439" s="4">
        <f t="shared" si="2"/>
        <v>2266.457143</v>
      </c>
      <c r="F439" s="4">
        <f t="shared" si="3"/>
        <v>797.4571429</v>
      </c>
      <c r="G439" s="4">
        <f t="shared" si="4"/>
        <v>2266</v>
      </c>
      <c r="H439" s="4" t="str">
        <f t="shared" si="5"/>
        <v>Binh thuong</v>
      </c>
    </row>
    <row r="440" ht="14.25" customHeight="1">
      <c r="A440" s="4" t="s">
        <v>456</v>
      </c>
      <c r="B440" s="4">
        <v>13168.0</v>
      </c>
      <c r="C440" s="4" t="s">
        <v>300</v>
      </c>
      <c r="D440" s="4" t="str">
        <f t="shared" si="1"/>
        <v>XGBoost</v>
      </c>
      <c r="E440" s="4">
        <f t="shared" si="2"/>
        <v>2257.371429</v>
      </c>
      <c r="F440" s="4">
        <f t="shared" si="3"/>
        <v>794.2603175</v>
      </c>
      <c r="G440" s="4">
        <f t="shared" si="4"/>
        <v>2257</v>
      </c>
      <c r="H440" s="4" t="str">
        <f t="shared" si="5"/>
        <v>Binh thuong</v>
      </c>
    </row>
    <row r="441" ht="14.25" customHeight="1">
      <c r="A441" s="4" t="s">
        <v>457</v>
      </c>
      <c r="B441" s="4">
        <v>13143.0</v>
      </c>
      <c r="C441" s="4" t="s">
        <v>300</v>
      </c>
      <c r="D441" s="4" t="str">
        <f t="shared" si="1"/>
        <v>XGBoost</v>
      </c>
      <c r="E441" s="4">
        <f t="shared" si="2"/>
        <v>2253.085714</v>
      </c>
      <c r="F441" s="4">
        <f t="shared" si="3"/>
        <v>792.752381</v>
      </c>
      <c r="G441" s="4">
        <f t="shared" si="4"/>
        <v>2253</v>
      </c>
      <c r="H441" s="4" t="str">
        <f t="shared" si="5"/>
        <v>Binh thuong</v>
      </c>
    </row>
    <row r="442" ht="14.25" customHeight="1">
      <c r="A442" s="4" t="s">
        <v>458</v>
      </c>
      <c r="B442" s="4">
        <v>12874.0</v>
      </c>
      <c r="C442" s="4" t="s">
        <v>300</v>
      </c>
      <c r="D442" s="4" t="str">
        <f t="shared" si="1"/>
        <v>XGBoost</v>
      </c>
      <c r="E442" s="4">
        <f t="shared" si="2"/>
        <v>2206.971429</v>
      </c>
      <c r="F442" s="4">
        <f t="shared" si="3"/>
        <v>776.5269841</v>
      </c>
      <c r="G442" s="4">
        <f t="shared" si="4"/>
        <v>2207</v>
      </c>
      <c r="H442" s="4" t="str">
        <f t="shared" si="5"/>
        <v>Binh thuong</v>
      </c>
    </row>
    <row r="443" ht="14.25" customHeight="1">
      <c r="A443" s="4" t="s">
        <v>459</v>
      </c>
      <c r="B443" s="4">
        <v>12867.0</v>
      </c>
      <c r="C443" s="4" t="s">
        <v>300</v>
      </c>
      <c r="D443" s="4" t="str">
        <f t="shared" si="1"/>
        <v>XGBoost</v>
      </c>
      <c r="E443" s="4">
        <f t="shared" si="2"/>
        <v>2205.771429</v>
      </c>
      <c r="F443" s="4">
        <f t="shared" si="3"/>
        <v>776.1047619</v>
      </c>
      <c r="G443" s="4">
        <f t="shared" si="4"/>
        <v>2206</v>
      </c>
      <c r="H443" s="4" t="str">
        <f t="shared" si="5"/>
        <v>Binh thuong</v>
      </c>
    </row>
    <row r="444" ht="14.25" customHeight="1">
      <c r="A444" s="4" t="s">
        <v>460</v>
      </c>
      <c r="B444" s="4">
        <v>12856.0</v>
      </c>
      <c r="C444" s="4" t="s">
        <v>300</v>
      </c>
      <c r="D444" s="4" t="str">
        <f t="shared" si="1"/>
        <v>XGBoost</v>
      </c>
      <c r="E444" s="4">
        <f t="shared" si="2"/>
        <v>2203.885714</v>
      </c>
      <c r="F444" s="4">
        <f t="shared" si="3"/>
        <v>775.4412698</v>
      </c>
      <c r="G444" s="4">
        <f t="shared" si="4"/>
        <v>2204</v>
      </c>
      <c r="H444" s="4" t="str">
        <f t="shared" si="5"/>
        <v>Binh thuong</v>
      </c>
    </row>
    <row r="445" ht="14.25" customHeight="1">
      <c r="A445" s="4" t="s">
        <v>461</v>
      </c>
      <c r="B445" s="4">
        <v>12825.0</v>
      </c>
      <c r="C445" s="4" t="s">
        <v>300</v>
      </c>
      <c r="D445" s="4" t="str">
        <f t="shared" si="1"/>
        <v>XGBoost</v>
      </c>
      <c r="E445" s="4">
        <f t="shared" si="2"/>
        <v>2198.571429</v>
      </c>
      <c r="F445" s="4">
        <f t="shared" si="3"/>
        <v>773.5714286</v>
      </c>
      <c r="G445" s="4">
        <f t="shared" si="4"/>
        <v>2199</v>
      </c>
      <c r="H445" s="4" t="str">
        <f t="shared" si="5"/>
        <v>Binh thuong</v>
      </c>
    </row>
    <row r="446" ht="14.25" customHeight="1">
      <c r="A446" s="4" t="s">
        <v>462</v>
      </c>
      <c r="B446" s="4">
        <v>12749.0</v>
      </c>
      <c r="C446" s="4" t="s">
        <v>300</v>
      </c>
      <c r="D446" s="4" t="str">
        <f t="shared" si="1"/>
        <v>XGBoost</v>
      </c>
      <c r="E446" s="4">
        <f t="shared" si="2"/>
        <v>2185.542857</v>
      </c>
      <c r="F446" s="4">
        <f t="shared" si="3"/>
        <v>768.9873016</v>
      </c>
      <c r="G446" s="4">
        <f t="shared" si="4"/>
        <v>2186</v>
      </c>
      <c r="H446" s="4" t="str">
        <f t="shared" si="5"/>
        <v>Binh thuong</v>
      </c>
    </row>
    <row r="447" ht="14.25" customHeight="1">
      <c r="A447" s="4" t="s">
        <v>463</v>
      </c>
      <c r="B447" s="4">
        <v>12605.0</v>
      </c>
      <c r="C447" s="4" t="s">
        <v>300</v>
      </c>
      <c r="D447" s="4" t="str">
        <f t="shared" si="1"/>
        <v>XGBoost</v>
      </c>
      <c r="E447" s="4">
        <f t="shared" si="2"/>
        <v>2160.857143</v>
      </c>
      <c r="F447" s="4">
        <f t="shared" si="3"/>
        <v>760.3015873</v>
      </c>
      <c r="G447" s="4">
        <f t="shared" si="4"/>
        <v>2161</v>
      </c>
      <c r="H447" s="4" t="str">
        <f t="shared" si="5"/>
        <v>Binh thuong</v>
      </c>
    </row>
    <row r="448" ht="14.25" customHeight="1">
      <c r="A448" s="4" t="s">
        <v>464</v>
      </c>
      <c r="B448" s="4">
        <v>12526.0</v>
      </c>
      <c r="C448" s="4" t="s">
        <v>300</v>
      </c>
      <c r="D448" s="4" t="str">
        <f t="shared" si="1"/>
        <v>XGBoost</v>
      </c>
      <c r="E448" s="4">
        <f t="shared" si="2"/>
        <v>2147.314286</v>
      </c>
      <c r="F448" s="4">
        <f t="shared" si="3"/>
        <v>755.5365079</v>
      </c>
      <c r="G448" s="4">
        <f t="shared" si="4"/>
        <v>2147</v>
      </c>
      <c r="H448" s="4" t="str">
        <f t="shared" si="5"/>
        <v>Binh thuong</v>
      </c>
    </row>
    <row r="449" ht="14.25" customHeight="1">
      <c r="A449" s="4" t="s">
        <v>465</v>
      </c>
      <c r="B449" s="4">
        <v>12357.0</v>
      </c>
      <c r="C449" s="4" t="s">
        <v>300</v>
      </c>
      <c r="D449" s="4" t="str">
        <f t="shared" si="1"/>
        <v>XGBoost</v>
      </c>
      <c r="E449" s="4">
        <f t="shared" si="2"/>
        <v>2118.342857</v>
      </c>
      <c r="F449" s="4">
        <f t="shared" si="3"/>
        <v>745.3428571</v>
      </c>
      <c r="G449" s="4">
        <f t="shared" si="4"/>
        <v>2118</v>
      </c>
      <c r="H449" s="4" t="str">
        <f t="shared" si="5"/>
        <v>Binh thuong</v>
      </c>
    </row>
    <row r="450" ht="14.25" customHeight="1">
      <c r="A450" s="4" t="s">
        <v>466</v>
      </c>
      <c r="B450" s="4">
        <v>12260.0</v>
      </c>
      <c r="C450" s="4" t="s">
        <v>300</v>
      </c>
      <c r="D450" s="4" t="str">
        <f t="shared" si="1"/>
        <v>XGBoost</v>
      </c>
      <c r="E450" s="4">
        <f t="shared" si="2"/>
        <v>2101.714286</v>
      </c>
      <c r="F450" s="4">
        <f t="shared" si="3"/>
        <v>739.4920635</v>
      </c>
      <c r="G450" s="4">
        <f t="shared" si="4"/>
        <v>2102</v>
      </c>
      <c r="H450" s="4" t="str">
        <f t="shared" si="5"/>
        <v>Binh thuong</v>
      </c>
    </row>
    <row r="451" ht="14.25" customHeight="1">
      <c r="A451" s="4" t="s">
        <v>467</v>
      </c>
      <c r="B451" s="4">
        <v>12255.0</v>
      </c>
      <c r="C451" s="4" t="s">
        <v>300</v>
      </c>
      <c r="D451" s="4" t="str">
        <f t="shared" si="1"/>
        <v>XGBoost</v>
      </c>
      <c r="E451" s="4">
        <f t="shared" si="2"/>
        <v>2100.857143</v>
      </c>
      <c r="F451" s="4">
        <f t="shared" si="3"/>
        <v>739.1904762</v>
      </c>
      <c r="G451" s="4">
        <f t="shared" si="4"/>
        <v>2101</v>
      </c>
      <c r="H451" s="4" t="str">
        <f t="shared" si="5"/>
        <v>Binh thuong</v>
      </c>
    </row>
    <row r="452" ht="14.25" customHeight="1">
      <c r="A452" s="4" t="s">
        <v>468</v>
      </c>
      <c r="B452" s="4">
        <v>12230.0</v>
      </c>
      <c r="C452" s="4" t="s">
        <v>300</v>
      </c>
      <c r="D452" s="4" t="str">
        <f t="shared" si="1"/>
        <v>XGBoost</v>
      </c>
      <c r="E452" s="4">
        <f t="shared" si="2"/>
        <v>2096.571429</v>
      </c>
      <c r="F452" s="4">
        <f t="shared" si="3"/>
        <v>737.6825397</v>
      </c>
      <c r="G452" s="4">
        <f t="shared" si="4"/>
        <v>2097</v>
      </c>
      <c r="H452" s="4" t="str">
        <f t="shared" si="5"/>
        <v>Binh thuong</v>
      </c>
    </row>
    <row r="453" ht="14.25" customHeight="1">
      <c r="A453" s="4" t="s">
        <v>469</v>
      </c>
      <c r="B453" s="4">
        <v>12219.0</v>
      </c>
      <c r="C453" s="4" t="s">
        <v>300</v>
      </c>
      <c r="D453" s="4" t="str">
        <f t="shared" si="1"/>
        <v>XGBoost</v>
      </c>
      <c r="E453" s="4">
        <f t="shared" si="2"/>
        <v>2094.685714</v>
      </c>
      <c r="F453" s="4">
        <f t="shared" si="3"/>
        <v>737.0190476</v>
      </c>
      <c r="G453" s="4">
        <f t="shared" si="4"/>
        <v>2095</v>
      </c>
      <c r="H453" s="4" t="str">
        <f t="shared" si="5"/>
        <v>Binh thuong</v>
      </c>
    </row>
    <row r="454" ht="14.25" customHeight="1">
      <c r="A454" s="4" t="s">
        <v>470</v>
      </c>
      <c r="B454" s="4">
        <v>12139.0</v>
      </c>
      <c r="C454" s="4" t="s">
        <v>300</v>
      </c>
      <c r="D454" s="4" t="str">
        <f t="shared" si="1"/>
        <v>XGBoost</v>
      </c>
      <c r="E454" s="4">
        <f t="shared" si="2"/>
        <v>2080.971429</v>
      </c>
      <c r="F454" s="4">
        <f t="shared" si="3"/>
        <v>732.1936508</v>
      </c>
      <c r="G454" s="4">
        <f t="shared" si="4"/>
        <v>2081</v>
      </c>
      <c r="H454" s="4" t="str">
        <f t="shared" si="5"/>
        <v>Binh thuong</v>
      </c>
    </row>
    <row r="455" ht="14.25" customHeight="1">
      <c r="A455" s="4" t="s">
        <v>471</v>
      </c>
      <c r="B455" s="4">
        <v>12058.0</v>
      </c>
      <c r="C455" s="4" t="s">
        <v>300</v>
      </c>
      <c r="D455" s="4" t="str">
        <f t="shared" si="1"/>
        <v>XGBoost</v>
      </c>
      <c r="E455" s="4">
        <f t="shared" si="2"/>
        <v>2067.085714</v>
      </c>
      <c r="F455" s="4">
        <f t="shared" si="3"/>
        <v>727.3079365</v>
      </c>
      <c r="G455" s="4">
        <f t="shared" si="4"/>
        <v>2067</v>
      </c>
      <c r="H455" s="4" t="str">
        <f t="shared" si="5"/>
        <v>Binh thuong</v>
      </c>
    </row>
    <row r="456" ht="14.25" customHeight="1">
      <c r="A456" s="4" t="s">
        <v>472</v>
      </c>
      <c r="B456" s="4">
        <v>11993.0</v>
      </c>
      <c r="C456" s="4" t="s">
        <v>300</v>
      </c>
      <c r="D456" s="4" t="str">
        <f t="shared" si="1"/>
        <v>XGBoost</v>
      </c>
      <c r="E456" s="4">
        <f t="shared" si="2"/>
        <v>2055.942857</v>
      </c>
      <c r="F456" s="4">
        <f t="shared" si="3"/>
        <v>723.3873016</v>
      </c>
      <c r="G456" s="4">
        <f t="shared" si="4"/>
        <v>2056</v>
      </c>
      <c r="H456" s="4" t="str">
        <f t="shared" si="5"/>
        <v>Binh thuong</v>
      </c>
    </row>
    <row r="457" ht="14.25" customHeight="1">
      <c r="A457" s="4" t="s">
        <v>473</v>
      </c>
      <c r="B457" s="4">
        <v>11949.0</v>
      </c>
      <c r="C457" s="4" t="s">
        <v>300</v>
      </c>
      <c r="D457" s="4" t="str">
        <f t="shared" si="1"/>
        <v>XGBoost</v>
      </c>
      <c r="E457" s="4">
        <f t="shared" si="2"/>
        <v>2048.4</v>
      </c>
      <c r="F457" s="4">
        <f t="shared" si="3"/>
        <v>720.7333333</v>
      </c>
      <c r="G457" s="4">
        <f t="shared" si="4"/>
        <v>2048</v>
      </c>
      <c r="H457" s="4" t="str">
        <f t="shared" si="5"/>
        <v>Binh thuong</v>
      </c>
    </row>
    <row r="458" ht="14.25" customHeight="1">
      <c r="A458" s="4" t="s">
        <v>474</v>
      </c>
      <c r="B458" s="4">
        <v>11798.0</v>
      </c>
      <c r="C458" s="4" t="s">
        <v>300</v>
      </c>
      <c r="D458" s="4" t="str">
        <f t="shared" si="1"/>
        <v>XGBoost</v>
      </c>
      <c r="E458" s="4">
        <f t="shared" si="2"/>
        <v>2022.514286</v>
      </c>
      <c r="F458" s="4">
        <f t="shared" si="3"/>
        <v>711.6253968</v>
      </c>
      <c r="G458" s="4">
        <f t="shared" si="4"/>
        <v>2023</v>
      </c>
      <c r="H458" s="4" t="str">
        <f t="shared" si="5"/>
        <v>Binh thuong</v>
      </c>
    </row>
    <row r="459" ht="14.25" customHeight="1">
      <c r="A459" s="4" t="s">
        <v>475</v>
      </c>
      <c r="B459" s="4">
        <v>11778.0</v>
      </c>
      <c r="C459" s="4" t="s">
        <v>300</v>
      </c>
      <c r="D459" s="4" t="str">
        <f t="shared" si="1"/>
        <v>XGBoost</v>
      </c>
      <c r="E459" s="4">
        <f t="shared" si="2"/>
        <v>2019.085714</v>
      </c>
      <c r="F459" s="4">
        <f t="shared" si="3"/>
        <v>710.4190476</v>
      </c>
      <c r="G459" s="4">
        <f t="shared" si="4"/>
        <v>2019</v>
      </c>
      <c r="H459" s="4" t="str">
        <f t="shared" si="5"/>
        <v>Binh thuong</v>
      </c>
    </row>
    <row r="460" ht="14.25" customHeight="1">
      <c r="A460" s="4" t="s">
        <v>476</v>
      </c>
      <c r="B460" s="4">
        <v>11713.0</v>
      </c>
      <c r="C460" s="4" t="s">
        <v>300</v>
      </c>
      <c r="D460" s="4" t="str">
        <f t="shared" si="1"/>
        <v>XGBoost</v>
      </c>
      <c r="E460" s="4">
        <f t="shared" si="2"/>
        <v>2007.942857</v>
      </c>
      <c r="F460" s="4">
        <f t="shared" si="3"/>
        <v>706.4984127</v>
      </c>
      <c r="G460" s="4">
        <f t="shared" si="4"/>
        <v>2008</v>
      </c>
      <c r="H460" s="4" t="str">
        <f t="shared" si="5"/>
        <v>Binh thuong</v>
      </c>
    </row>
    <row r="461" ht="14.25" customHeight="1">
      <c r="A461" s="4" t="s">
        <v>477</v>
      </c>
      <c r="B461" s="4">
        <v>11638.0</v>
      </c>
      <c r="C461" s="4" t="s">
        <v>300</v>
      </c>
      <c r="D461" s="4" t="str">
        <f t="shared" si="1"/>
        <v>XGBoost</v>
      </c>
      <c r="E461" s="4">
        <f t="shared" si="2"/>
        <v>1995.085714</v>
      </c>
      <c r="F461" s="4">
        <f t="shared" si="3"/>
        <v>701.9746032</v>
      </c>
      <c r="G461" s="4">
        <f t="shared" si="4"/>
        <v>1995</v>
      </c>
      <c r="H461" s="4" t="str">
        <f t="shared" si="5"/>
        <v>Binh thuong</v>
      </c>
    </row>
    <row r="462" ht="14.25" customHeight="1">
      <c r="A462" s="4" t="s">
        <v>478</v>
      </c>
      <c r="B462" s="4">
        <v>11456.0</v>
      </c>
      <c r="C462" s="4" t="s">
        <v>300</v>
      </c>
      <c r="D462" s="4" t="str">
        <f t="shared" si="1"/>
        <v>XGBoost</v>
      </c>
      <c r="E462" s="4">
        <f t="shared" si="2"/>
        <v>1963.885714</v>
      </c>
      <c r="F462" s="4">
        <f t="shared" si="3"/>
        <v>690.9968254</v>
      </c>
      <c r="G462" s="4">
        <f t="shared" si="4"/>
        <v>1964</v>
      </c>
      <c r="H462" s="4" t="str">
        <f t="shared" si="5"/>
        <v>Binh thuong</v>
      </c>
    </row>
    <row r="463" ht="14.25" customHeight="1">
      <c r="A463" s="4" t="s">
        <v>479</v>
      </c>
      <c r="B463" s="4">
        <v>11296.0</v>
      </c>
      <c r="C463" s="4" t="s">
        <v>300</v>
      </c>
      <c r="D463" s="4" t="str">
        <f t="shared" si="1"/>
        <v>XGBoost</v>
      </c>
      <c r="E463" s="4">
        <f t="shared" si="2"/>
        <v>1936.457143</v>
      </c>
      <c r="F463" s="4">
        <f t="shared" si="3"/>
        <v>681.3460317</v>
      </c>
      <c r="G463" s="4">
        <f t="shared" si="4"/>
        <v>1936</v>
      </c>
      <c r="H463" s="4" t="str">
        <f t="shared" si="5"/>
        <v>Binh thuong</v>
      </c>
    </row>
    <row r="464" ht="14.25" customHeight="1">
      <c r="A464" s="4" t="s">
        <v>480</v>
      </c>
      <c r="B464" s="4">
        <v>11285.0</v>
      </c>
      <c r="C464" s="4" t="s">
        <v>300</v>
      </c>
      <c r="D464" s="4" t="str">
        <f t="shared" si="1"/>
        <v>XGBoost</v>
      </c>
      <c r="E464" s="4">
        <f t="shared" si="2"/>
        <v>1934.571429</v>
      </c>
      <c r="F464" s="4">
        <f t="shared" si="3"/>
        <v>680.6825397</v>
      </c>
      <c r="G464" s="4">
        <f t="shared" si="4"/>
        <v>1935</v>
      </c>
      <c r="H464" s="4" t="str">
        <f t="shared" si="5"/>
        <v>Binh thuong</v>
      </c>
    </row>
    <row r="465" ht="14.25" customHeight="1">
      <c r="A465" s="4" t="s">
        <v>481</v>
      </c>
      <c r="B465" s="4">
        <v>11245.0</v>
      </c>
      <c r="C465" s="4" t="s">
        <v>300</v>
      </c>
      <c r="D465" s="4" t="str">
        <f t="shared" si="1"/>
        <v>XGBoost</v>
      </c>
      <c r="E465" s="4">
        <f t="shared" si="2"/>
        <v>1927.714286</v>
      </c>
      <c r="F465" s="4">
        <f t="shared" si="3"/>
        <v>678.2698413</v>
      </c>
      <c r="G465" s="4">
        <f t="shared" si="4"/>
        <v>1928</v>
      </c>
      <c r="H465" s="4" t="str">
        <f t="shared" si="5"/>
        <v>Binh thuong</v>
      </c>
    </row>
    <row r="466" ht="14.25" customHeight="1">
      <c r="A466" s="4" t="s">
        <v>482</v>
      </c>
      <c r="B466" s="4">
        <v>11222.0</v>
      </c>
      <c r="C466" s="4" t="s">
        <v>300</v>
      </c>
      <c r="D466" s="4" t="str">
        <f t="shared" si="1"/>
        <v>XGBoost</v>
      </c>
      <c r="E466" s="4">
        <f t="shared" si="2"/>
        <v>1923.771429</v>
      </c>
      <c r="F466" s="4">
        <f t="shared" si="3"/>
        <v>676.8825397</v>
      </c>
      <c r="G466" s="4">
        <f t="shared" si="4"/>
        <v>1924</v>
      </c>
      <c r="H466" s="4" t="str">
        <f t="shared" si="5"/>
        <v>Binh thuong</v>
      </c>
    </row>
    <row r="467" ht="14.25" customHeight="1">
      <c r="A467" s="4" t="s">
        <v>483</v>
      </c>
      <c r="B467" s="4">
        <v>11198.0</v>
      </c>
      <c r="C467" s="4" t="s">
        <v>300</v>
      </c>
      <c r="D467" s="4" t="str">
        <f t="shared" si="1"/>
        <v>XGBoost</v>
      </c>
      <c r="E467" s="4">
        <f t="shared" si="2"/>
        <v>1919.657143</v>
      </c>
      <c r="F467" s="4">
        <f t="shared" si="3"/>
        <v>675.4349206</v>
      </c>
      <c r="G467" s="4">
        <f t="shared" si="4"/>
        <v>1920</v>
      </c>
      <c r="H467" s="4" t="str">
        <f t="shared" si="5"/>
        <v>Binh thuong</v>
      </c>
    </row>
    <row r="468" ht="14.25" customHeight="1">
      <c r="A468" s="4" t="s">
        <v>484</v>
      </c>
      <c r="B468" s="4">
        <v>11185.0</v>
      </c>
      <c r="C468" s="4" t="s">
        <v>300</v>
      </c>
      <c r="D468" s="4" t="str">
        <f t="shared" si="1"/>
        <v>XGBoost</v>
      </c>
      <c r="E468" s="4">
        <f t="shared" si="2"/>
        <v>1917.428571</v>
      </c>
      <c r="F468" s="4">
        <f t="shared" si="3"/>
        <v>674.6507937</v>
      </c>
      <c r="G468" s="4">
        <f t="shared" si="4"/>
        <v>1917</v>
      </c>
      <c r="H468" s="4" t="str">
        <f t="shared" si="5"/>
        <v>Binh thuong</v>
      </c>
    </row>
    <row r="469" ht="14.25" customHeight="1">
      <c r="A469" s="4" t="s">
        <v>485</v>
      </c>
      <c r="B469" s="4">
        <v>11161.0</v>
      </c>
      <c r="C469" s="4" t="s">
        <v>300</v>
      </c>
      <c r="D469" s="4" t="str">
        <f t="shared" si="1"/>
        <v>XGBoost</v>
      </c>
      <c r="E469" s="4">
        <f t="shared" si="2"/>
        <v>1913.314286</v>
      </c>
      <c r="F469" s="4">
        <f t="shared" si="3"/>
        <v>673.2031746</v>
      </c>
      <c r="G469" s="4">
        <f t="shared" si="4"/>
        <v>1913</v>
      </c>
      <c r="H469" s="4" t="str">
        <f t="shared" si="5"/>
        <v>Binh thuong</v>
      </c>
    </row>
    <row r="470" ht="14.25" customHeight="1">
      <c r="A470" s="4" t="s">
        <v>486</v>
      </c>
      <c r="B470" s="4">
        <v>11160.0</v>
      </c>
      <c r="C470" s="4" t="s">
        <v>300</v>
      </c>
      <c r="D470" s="4" t="str">
        <f t="shared" si="1"/>
        <v>XGBoost</v>
      </c>
      <c r="E470" s="4">
        <f t="shared" si="2"/>
        <v>1913.142857</v>
      </c>
      <c r="F470" s="4">
        <f t="shared" si="3"/>
        <v>673.1428571</v>
      </c>
      <c r="G470" s="4">
        <f t="shared" si="4"/>
        <v>1913</v>
      </c>
      <c r="H470" s="4" t="str">
        <f t="shared" si="5"/>
        <v>Binh thuong</v>
      </c>
    </row>
    <row r="471" ht="14.25" customHeight="1">
      <c r="A471" s="4" t="s">
        <v>487</v>
      </c>
      <c r="B471" s="4">
        <v>11094.0</v>
      </c>
      <c r="C471" s="4" t="s">
        <v>300</v>
      </c>
      <c r="D471" s="4" t="str">
        <f t="shared" si="1"/>
        <v>XGBoost</v>
      </c>
      <c r="E471" s="4">
        <f t="shared" si="2"/>
        <v>1901.828571</v>
      </c>
      <c r="F471" s="4">
        <f t="shared" si="3"/>
        <v>669.1619048</v>
      </c>
      <c r="G471" s="4">
        <f t="shared" si="4"/>
        <v>1902</v>
      </c>
      <c r="H471" s="4" t="str">
        <f t="shared" si="5"/>
        <v>Binh thuong</v>
      </c>
    </row>
    <row r="472" ht="14.25" customHeight="1">
      <c r="A472" s="4" t="s">
        <v>488</v>
      </c>
      <c r="B472" s="4">
        <v>11081.0</v>
      </c>
      <c r="C472" s="4" t="s">
        <v>300</v>
      </c>
      <c r="D472" s="4" t="str">
        <f t="shared" si="1"/>
        <v>XGBoost</v>
      </c>
      <c r="E472" s="4">
        <f t="shared" si="2"/>
        <v>1899.6</v>
      </c>
      <c r="F472" s="4">
        <f t="shared" si="3"/>
        <v>668.3777778</v>
      </c>
      <c r="G472" s="4">
        <f t="shared" si="4"/>
        <v>1900</v>
      </c>
      <c r="H472" s="4" t="str">
        <f t="shared" si="5"/>
        <v>Binh thuong</v>
      </c>
    </row>
    <row r="473" ht="14.25" customHeight="1">
      <c r="A473" s="4" t="s">
        <v>489</v>
      </c>
      <c r="B473" s="4">
        <v>10935.0</v>
      </c>
      <c r="C473" s="4" t="s">
        <v>300</v>
      </c>
      <c r="D473" s="4" t="str">
        <f t="shared" si="1"/>
        <v>XGBoost</v>
      </c>
      <c r="E473" s="4">
        <f t="shared" si="2"/>
        <v>1874.571429</v>
      </c>
      <c r="F473" s="4">
        <f t="shared" si="3"/>
        <v>659.5714286</v>
      </c>
      <c r="G473" s="4">
        <f t="shared" si="4"/>
        <v>1875</v>
      </c>
      <c r="H473" s="4" t="str">
        <f t="shared" si="5"/>
        <v>Binh thuong</v>
      </c>
    </row>
    <row r="474" ht="14.25" customHeight="1">
      <c r="A474" s="4" t="s">
        <v>490</v>
      </c>
      <c r="B474" s="4">
        <v>10921.0</v>
      </c>
      <c r="C474" s="4" t="s">
        <v>300</v>
      </c>
      <c r="D474" s="4" t="str">
        <f t="shared" si="1"/>
        <v>XGBoost</v>
      </c>
      <c r="E474" s="4">
        <f t="shared" si="2"/>
        <v>1872.171429</v>
      </c>
      <c r="F474" s="4">
        <f t="shared" si="3"/>
        <v>658.7269841</v>
      </c>
      <c r="G474" s="4">
        <f t="shared" si="4"/>
        <v>1872</v>
      </c>
      <c r="H474" s="4" t="str">
        <f t="shared" si="5"/>
        <v>Binh thuong</v>
      </c>
    </row>
    <row r="475" ht="14.25" customHeight="1">
      <c r="A475" s="4" t="s">
        <v>491</v>
      </c>
      <c r="B475" s="4">
        <v>10878.0</v>
      </c>
      <c r="C475" s="4" t="s">
        <v>300</v>
      </c>
      <c r="D475" s="4" t="str">
        <f t="shared" si="1"/>
        <v>XGBoost</v>
      </c>
      <c r="E475" s="4">
        <f t="shared" si="2"/>
        <v>1864.8</v>
      </c>
      <c r="F475" s="4">
        <f t="shared" si="3"/>
        <v>656.1333333</v>
      </c>
      <c r="G475" s="4">
        <f t="shared" si="4"/>
        <v>1865</v>
      </c>
      <c r="H475" s="4" t="str">
        <f t="shared" si="5"/>
        <v>Binh thuong</v>
      </c>
    </row>
    <row r="476" ht="14.25" customHeight="1">
      <c r="A476" s="4" t="s">
        <v>492</v>
      </c>
      <c r="B476" s="4">
        <v>10719.0</v>
      </c>
      <c r="C476" s="4" t="s">
        <v>300</v>
      </c>
      <c r="D476" s="4" t="str">
        <f t="shared" si="1"/>
        <v>XGBoost</v>
      </c>
      <c r="E476" s="4">
        <f t="shared" si="2"/>
        <v>1837.542857</v>
      </c>
      <c r="F476" s="4">
        <f t="shared" si="3"/>
        <v>646.5428571</v>
      </c>
      <c r="G476" s="4">
        <f t="shared" si="4"/>
        <v>1838</v>
      </c>
      <c r="H476" s="4" t="str">
        <f t="shared" si="5"/>
        <v>Binh thuong</v>
      </c>
    </row>
    <row r="477" ht="14.25" customHeight="1">
      <c r="A477" s="4" t="s">
        <v>493</v>
      </c>
      <c r="B477" s="4">
        <v>10712.0</v>
      </c>
      <c r="C477" s="4" t="s">
        <v>300</v>
      </c>
      <c r="D477" s="4" t="str">
        <f t="shared" si="1"/>
        <v>XGBoost</v>
      </c>
      <c r="E477" s="4">
        <f t="shared" si="2"/>
        <v>1836.342857</v>
      </c>
      <c r="F477" s="4">
        <f t="shared" si="3"/>
        <v>646.1206349</v>
      </c>
      <c r="G477" s="4">
        <f t="shared" si="4"/>
        <v>1836</v>
      </c>
      <c r="H477" s="4" t="str">
        <f t="shared" si="5"/>
        <v>Binh thuong</v>
      </c>
    </row>
    <row r="478" ht="14.25" customHeight="1">
      <c r="A478" s="4" t="s">
        <v>494</v>
      </c>
      <c r="B478" s="4">
        <v>10699.0</v>
      </c>
      <c r="C478" s="4" t="s">
        <v>300</v>
      </c>
      <c r="D478" s="4" t="str">
        <f t="shared" si="1"/>
        <v>XGBoost</v>
      </c>
      <c r="E478" s="4">
        <f t="shared" si="2"/>
        <v>1834.114286</v>
      </c>
      <c r="F478" s="4">
        <f t="shared" si="3"/>
        <v>645.3365079</v>
      </c>
      <c r="G478" s="4">
        <f t="shared" si="4"/>
        <v>1834</v>
      </c>
      <c r="H478" s="4" t="str">
        <f t="shared" si="5"/>
        <v>Binh thuong</v>
      </c>
    </row>
    <row r="479" ht="14.25" customHeight="1">
      <c r="A479" s="4" t="s">
        <v>495</v>
      </c>
      <c r="B479" s="4">
        <v>10639.0</v>
      </c>
      <c r="C479" s="4" t="s">
        <v>300</v>
      </c>
      <c r="D479" s="4" t="str">
        <f t="shared" si="1"/>
        <v>XGBoost</v>
      </c>
      <c r="E479" s="4">
        <f t="shared" si="2"/>
        <v>1823.828571</v>
      </c>
      <c r="F479" s="4">
        <f t="shared" si="3"/>
        <v>641.7174603</v>
      </c>
      <c r="G479" s="4">
        <f t="shared" si="4"/>
        <v>1824</v>
      </c>
      <c r="H479" s="4" t="str">
        <f t="shared" si="5"/>
        <v>Binh thuong</v>
      </c>
    </row>
    <row r="480" ht="14.25" customHeight="1">
      <c r="A480" s="4" t="s">
        <v>496</v>
      </c>
      <c r="B480" s="4">
        <v>10564.0</v>
      </c>
      <c r="C480" s="4" t="s">
        <v>300</v>
      </c>
      <c r="D480" s="4" t="str">
        <f t="shared" si="1"/>
        <v>XGBoost</v>
      </c>
      <c r="E480" s="4">
        <f t="shared" si="2"/>
        <v>1810.971429</v>
      </c>
      <c r="F480" s="4">
        <f t="shared" si="3"/>
        <v>637.1936508</v>
      </c>
      <c r="G480" s="4">
        <f t="shared" si="4"/>
        <v>1811</v>
      </c>
      <c r="H480" s="4" t="str">
        <f t="shared" si="5"/>
        <v>Binh thuong</v>
      </c>
    </row>
    <row r="481" ht="14.25" customHeight="1">
      <c r="A481" s="4" t="s">
        <v>497</v>
      </c>
      <c r="B481" s="4">
        <v>10397.0</v>
      </c>
      <c r="C481" s="4" t="s">
        <v>300</v>
      </c>
      <c r="D481" s="4" t="str">
        <f t="shared" si="1"/>
        <v>XGBoost</v>
      </c>
      <c r="E481" s="4">
        <f t="shared" si="2"/>
        <v>1782.342857</v>
      </c>
      <c r="F481" s="4">
        <f t="shared" si="3"/>
        <v>627.1206349</v>
      </c>
      <c r="G481" s="4">
        <f t="shared" si="4"/>
        <v>1782</v>
      </c>
      <c r="H481" s="4" t="str">
        <f t="shared" si="5"/>
        <v>Binh thuong</v>
      </c>
    </row>
    <row r="482" ht="14.25" customHeight="1">
      <c r="A482" s="4" t="s">
        <v>498</v>
      </c>
      <c r="B482" s="4">
        <v>10387.0</v>
      </c>
      <c r="C482" s="4" t="s">
        <v>300</v>
      </c>
      <c r="D482" s="4" t="str">
        <f t="shared" si="1"/>
        <v>XGBoost</v>
      </c>
      <c r="E482" s="4">
        <f t="shared" si="2"/>
        <v>1780.628571</v>
      </c>
      <c r="F482" s="4">
        <f t="shared" si="3"/>
        <v>626.5174603</v>
      </c>
      <c r="G482" s="4">
        <f t="shared" si="4"/>
        <v>1781</v>
      </c>
      <c r="H482" s="4" t="str">
        <f t="shared" si="5"/>
        <v>Binh thuong</v>
      </c>
    </row>
    <row r="483" ht="14.25" customHeight="1">
      <c r="A483" s="4" t="s">
        <v>499</v>
      </c>
      <c r="B483" s="4">
        <v>10198.0</v>
      </c>
      <c r="C483" s="4" t="s">
        <v>300</v>
      </c>
      <c r="D483" s="4" t="str">
        <f t="shared" si="1"/>
        <v>XGBoost</v>
      </c>
      <c r="E483" s="4">
        <f t="shared" si="2"/>
        <v>1748.228571</v>
      </c>
      <c r="F483" s="4">
        <f t="shared" si="3"/>
        <v>615.1174603</v>
      </c>
      <c r="G483" s="4">
        <f t="shared" si="4"/>
        <v>1748</v>
      </c>
      <c r="H483" s="4" t="str">
        <f t="shared" si="5"/>
        <v>Binh thuong</v>
      </c>
    </row>
    <row r="484" ht="14.25" customHeight="1">
      <c r="A484" s="4" t="s">
        <v>500</v>
      </c>
      <c r="B484" s="4">
        <v>10196.0</v>
      </c>
      <c r="C484" s="4" t="s">
        <v>300</v>
      </c>
      <c r="D484" s="4" t="str">
        <f t="shared" si="1"/>
        <v>XGBoost</v>
      </c>
      <c r="E484" s="4">
        <f t="shared" si="2"/>
        <v>1747.885714</v>
      </c>
      <c r="F484" s="4">
        <f t="shared" si="3"/>
        <v>614.9968254</v>
      </c>
      <c r="G484" s="4">
        <f t="shared" si="4"/>
        <v>1748</v>
      </c>
      <c r="H484" s="4" t="str">
        <f t="shared" si="5"/>
        <v>Binh thuong</v>
      </c>
    </row>
    <row r="485" ht="14.25" customHeight="1">
      <c r="A485" s="4" t="s">
        <v>501</v>
      </c>
      <c r="B485" s="4">
        <v>10143.0</v>
      </c>
      <c r="C485" s="4" t="s">
        <v>300</v>
      </c>
      <c r="D485" s="4" t="str">
        <f t="shared" si="1"/>
        <v>XGBoost</v>
      </c>
      <c r="E485" s="4">
        <f t="shared" si="2"/>
        <v>1738.8</v>
      </c>
      <c r="F485" s="4">
        <f t="shared" si="3"/>
        <v>611.8</v>
      </c>
      <c r="G485" s="4">
        <f t="shared" si="4"/>
        <v>1739</v>
      </c>
      <c r="H485" s="4" t="str">
        <f t="shared" si="5"/>
        <v>Binh thuong</v>
      </c>
    </row>
    <row r="486" ht="14.25" customHeight="1">
      <c r="A486" s="4" t="s">
        <v>502</v>
      </c>
      <c r="B486" s="4">
        <v>9988.0</v>
      </c>
      <c r="C486" s="4" t="s">
        <v>300</v>
      </c>
      <c r="D486" s="4" t="str">
        <f t="shared" si="1"/>
        <v>XGBoost</v>
      </c>
      <c r="E486" s="4">
        <f t="shared" si="2"/>
        <v>1712.228571</v>
      </c>
      <c r="F486" s="4">
        <f t="shared" si="3"/>
        <v>602.4507937</v>
      </c>
      <c r="G486" s="4">
        <f t="shared" si="4"/>
        <v>1712</v>
      </c>
      <c r="H486" s="4" t="str">
        <f t="shared" si="5"/>
        <v>Binh thuong</v>
      </c>
    </row>
    <row r="487" ht="14.25" customHeight="1">
      <c r="A487" s="4" t="s">
        <v>503</v>
      </c>
      <c r="B487" s="4">
        <v>9987.0</v>
      </c>
      <c r="C487" s="4" t="s">
        <v>300</v>
      </c>
      <c r="D487" s="4" t="str">
        <f t="shared" si="1"/>
        <v>XGBoost</v>
      </c>
      <c r="E487" s="4">
        <f t="shared" si="2"/>
        <v>1712.057143</v>
      </c>
      <c r="F487" s="4">
        <f t="shared" si="3"/>
        <v>602.3904762</v>
      </c>
      <c r="G487" s="4">
        <f t="shared" si="4"/>
        <v>1712</v>
      </c>
      <c r="H487" s="4" t="str">
        <f t="shared" si="5"/>
        <v>Binh thuong</v>
      </c>
    </row>
    <row r="488" ht="14.25" customHeight="1">
      <c r="A488" s="4" t="s">
        <v>504</v>
      </c>
      <c r="B488" s="4">
        <v>9985.0</v>
      </c>
      <c r="C488" s="4" t="s">
        <v>300</v>
      </c>
      <c r="D488" s="4" t="str">
        <f t="shared" si="1"/>
        <v>XGBoost</v>
      </c>
      <c r="E488" s="4">
        <f t="shared" si="2"/>
        <v>1711.714286</v>
      </c>
      <c r="F488" s="4">
        <f t="shared" si="3"/>
        <v>602.2698413</v>
      </c>
      <c r="G488" s="4">
        <f t="shared" si="4"/>
        <v>1712</v>
      </c>
      <c r="H488" s="4" t="str">
        <f t="shared" si="5"/>
        <v>Binh thuong</v>
      </c>
    </row>
    <row r="489" ht="14.25" customHeight="1">
      <c r="A489" s="4" t="s">
        <v>505</v>
      </c>
      <c r="B489" s="4">
        <v>9941.0</v>
      </c>
      <c r="C489" s="4" t="s">
        <v>300</v>
      </c>
      <c r="D489" s="4" t="str">
        <f t="shared" si="1"/>
        <v>XGBoost</v>
      </c>
      <c r="E489" s="4">
        <f t="shared" si="2"/>
        <v>1704.171429</v>
      </c>
      <c r="F489" s="4">
        <f t="shared" si="3"/>
        <v>599.615873</v>
      </c>
      <c r="G489" s="4">
        <f t="shared" si="4"/>
        <v>1704</v>
      </c>
      <c r="H489" s="4" t="str">
        <f t="shared" si="5"/>
        <v>Binh thuong</v>
      </c>
    </row>
    <row r="490" ht="14.25" customHeight="1">
      <c r="A490" s="4" t="s">
        <v>506</v>
      </c>
      <c r="B490" s="4">
        <v>9927.0</v>
      </c>
      <c r="C490" s="4" t="s">
        <v>300</v>
      </c>
      <c r="D490" s="4" t="str">
        <f t="shared" si="1"/>
        <v>XGBoost</v>
      </c>
      <c r="E490" s="4">
        <f t="shared" si="2"/>
        <v>1701.771429</v>
      </c>
      <c r="F490" s="4">
        <f t="shared" si="3"/>
        <v>598.7714286</v>
      </c>
      <c r="G490" s="4">
        <f t="shared" si="4"/>
        <v>1702</v>
      </c>
      <c r="H490" s="4" t="str">
        <f t="shared" si="5"/>
        <v>Binh thuong</v>
      </c>
    </row>
    <row r="491" ht="14.25" customHeight="1">
      <c r="A491" s="4" t="s">
        <v>507</v>
      </c>
      <c r="B491" s="4">
        <v>9926.0</v>
      </c>
      <c r="C491" s="4" t="s">
        <v>300</v>
      </c>
      <c r="D491" s="4" t="str">
        <f t="shared" si="1"/>
        <v>XGBoost</v>
      </c>
      <c r="E491" s="4">
        <f t="shared" si="2"/>
        <v>1701.6</v>
      </c>
      <c r="F491" s="4">
        <f t="shared" si="3"/>
        <v>598.7111111</v>
      </c>
      <c r="G491" s="4">
        <f t="shared" si="4"/>
        <v>1702</v>
      </c>
      <c r="H491" s="4" t="str">
        <f t="shared" si="5"/>
        <v>Binh thuong</v>
      </c>
    </row>
    <row r="492" ht="14.25" customHeight="1">
      <c r="A492" s="4" t="s">
        <v>508</v>
      </c>
      <c r="B492" s="4">
        <v>9706.0</v>
      </c>
      <c r="C492" s="4" t="s">
        <v>300</v>
      </c>
      <c r="D492" s="4" t="str">
        <f t="shared" si="1"/>
        <v>XGBoost</v>
      </c>
      <c r="E492" s="4">
        <f t="shared" si="2"/>
        <v>1663.885714</v>
      </c>
      <c r="F492" s="4">
        <f t="shared" si="3"/>
        <v>585.4412698</v>
      </c>
      <c r="G492" s="4">
        <f t="shared" si="4"/>
        <v>1664</v>
      </c>
      <c r="H492" s="4" t="str">
        <f t="shared" si="5"/>
        <v>Binh thuong</v>
      </c>
    </row>
    <row r="493" ht="14.25" customHeight="1">
      <c r="A493" s="4" t="s">
        <v>509</v>
      </c>
      <c r="B493" s="4">
        <v>9700.0</v>
      </c>
      <c r="C493" s="4" t="s">
        <v>300</v>
      </c>
      <c r="D493" s="4" t="str">
        <f t="shared" si="1"/>
        <v>XGBoost</v>
      </c>
      <c r="E493" s="4">
        <f t="shared" si="2"/>
        <v>1662.857143</v>
      </c>
      <c r="F493" s="4">
        <f t="shared" si="3"/>
        <v>585.0793651</v>
      </c>
      <c r="G493" s="4">
        <f t="shared" si="4"/>
        <v>1663</v>
      </c>
      <c r="H493" s="4" t="str">
        <f t="shared" si="5"/>
        <v>Binh thuong</v>
      </c>
    </row>
    <row r="494" ht="14.25" customHeight="1">
      <c r="A494" s="4" t="s">
        <v>510</v>
      </c>
      <c r="B494" s="4">
        <v>9667.0</v>
      </c>
      <c r="C494" s="4" t="s">
        <v>300</v>
      </c>
      <c r="D494" s="4" t="str">
        <f t="shared" si="1"/>
        <v>XGBoost</v>
      </c>
      <c r="E494" s="4">
        <f t="shared" si="2"/>
        <v>1657.2</v>
      </c>
      <c r="F494" s="4">
        <f t="shared" si="3"/>
        <v>583.0888889</v>
      </c>
      <c r="G494" s="4">
        <f t="shared" si="4"/>
        <v>1657</v>
      </c>
      <c r="H494" s="4" t="str">
        <f t="shared" si="5"/>
        <v>Binh thuong</v>
      </c>
    </row>
    <row r="495" ht="14.25" customHeight="1">
      <c r="A495" s="4" t="s">
        <v>511</v>
      </c>
      <c r="B495" s="4">
        <v>9646.0</v>
      </c>
      <c r="C495" s="4" t="s">
        <v>300</v>
      </c>
      <c r="D495" s="4" t="str">
        <f t="shared" si="1"/>
        <v>XGBoost</v>
      </c>
      <c r="E495" s="4">
        <f t="shared" si="2"/>
        <v>1653.6</v>
      </c>
      <c r="F495" s="4">
        <f t="shared" si="3"/>
        <v>581.8222222</v>
      </c>
      <c r="G495" s="4">
        <f t="shared" si="4"/>
        <v>1654</v>
      </c>
      <c r="H495" s="4" t="str">
        <f t="shared" si="5"/>
        <v>Binh thuong</v>
      </c>
    </row>
    <row r="496" ht="14.25" customHeight="1">
      <c r="A496" s="4" t="s">
        <v>512</v>
      </c>
      <c r="B496" s="4">
        <v>9568.0</v>
      </c>
      <c r="C496" s="4" t="s">
        <v>300</v>
      </c>
      <c r="D496" s="4" t="str">
        <f t="shared" si="1"/>
        <v>XGBoost</v>
      </c>
      <c r="E496" s="4">
        <f t="shared" si="2"/>
        <v>1640.228571</v>
      </c>
      <c r="F496" s="4">
        <f t="shared" si="3"/>
        <v>577.1174603</v>
      </c>
      <c r="G496" s="4">
        <f t="shared" si="4"/>
        <v>1640</v>
      </c>
      <c r="H496" s="4" t="str">
        <f t="shared" si="5"/>
        <v>Binh thuong</v>
      </c>
    </row>
    <row r="497" ht="14.25" customHeight="1">
      <c r="A497" s="4" t="s">
        <v>513</v>
      </c>
      <c r="B497" s="4">
        <v>9536.0</v>
      </c>
      <c r="C497" s="4" t="s">
        <v>300</v>
      </c>
      <c r="D497" s="4" t="str">
        <f t="shared" si="1"/>
        <v>XGBoost</v>
      </c>
      <c r="E497" s="4">
        <f t="shared" si="2"/>
        <v>1634.742857</v>
      </c>
      <c r="F497" s="4">
        <f t="shared" si="3"/>
        <v>575.1873016</v>
      </c>
      <c r="G497" s="4">
        <f t="shared" si="4"/>
        <v>1635</v>
      </c>
      <c r="H497" s="4" t="str">
        <f t="shared" si="5"/>
        <v>Binh thuong</v>
      </c>
    </row>
    <row r="498" ht="14.25" customHeight="1">
      <c r="A498" s="4" t="s">
        <v>514</v>
      </c>
      <c r="B498" s="4">
        <v>9520.0</v>
      </c>
      <c r="C498" s="4" t="s">
        <v>300</v>
      </c>
      <c r="D498" s="4" t="str">
        <f t="shared" si="1"/>
        <v>XGBoost</v>
      </c>
      <c r="E498" s="4">
        <f t="shared" si="2"/>
        <v>1632</v>
      </c>
      <c r="F498" s="4">
        <f t="shared" si="3"/>
        <v>574.2222222</v>
      </c>
      <c r="G498" s="4">
        <f t="shared" si="4"/>
        <v>1632</v>
      </c>
      <c r="H498" s="4" t="str">
        <f t="shared" si="5"/>
        <v>Binh thuong</v>
      </c>
    </row>
    <row r="499" ht="14.25" customHeight="1">
      <c r="A499" s="4" t="s">
        <v>515</v>
      </c>
      <c r="B499" s="4">
        <v>9422.0</v>
      </c>
      <c r="C499" s="4" t="s">
        <v>300</v>
      </c>
      <c r="D499" s="4" t="str">
        <f t="shared" si="1"/>
        <v>XGBoost</v>
      </c>
      <c r="E499" s="4">
        <f t="shared" si="2"/>
        <v>1615.2</v>
      </c>
      <c r="F499" s="4">
        <f t="shared" si="3"/>
        <v>568.3111111</v>
      </c>
      <c r="G499" s="4">
        <f t="shared" si="4"/>
        <v>1615</v>
      </c>
      <c r="H499" s="4" t="str">
        <f t="shared" si="5"/>
        <v>Binh thuong</v>
      </c>
    </row>
    <row r="500" ht="14.25" customHeight="1">
      <c r="A500" s="4" t="s">
        <v>516</v>
      </c>
      <c r="B500" s="4">
        <v>9404.0</v>
      </c>
      <c r="C500" s="4" t="s">
        <v>300</v>
      </c>
      <c r="D500" s="4" t="str">
        <f t="shared" si="1"/>
        <v>XGBoost</v>
      </c>
      <c r="E500" s="4">
        <f t="shared" si="2"/>
        <v>1612.114286</v>
      </c>
      <c r="F500" s="4">
        <f t="shared" si="3"/>
        <v>567.2253968</v>
      </c>
      <c r="G500" s="4">
        <f t="shared" si="4"/>
        <v>1612</v>
      </c>
      <c r="H500" s="4" t="str">
        <f t="shared" si="5"/>
        <v>Binh thuong</v>
      </c>
    </row>
    <row r="501" ht="14.25" customHeight="1">
      <c r="A501" s="4" t="s">
        <v>517</v>
      </c>
      <c r="B501" s="4">
        <v>9363.0</v>
      </c>
      <c r="C501" s="4" t="s">
        <v>300</v>
      </c>
      <c r="D501" s="4" t="str">
        <f t="shared" si="1"/>
        <v>XGBoost</v>
      </c>
      <c r="E501" s="4">
        <f t="shared" si="2"/>
        <v>1605.085714</v>
      </c>
      <c r="F501" s="4">
        <f t="shared" si="3"/>
        <v>564.752381</v>
      </c>
      <c r="G501" s="4">
        <f t="shared" si="4"/>
        <v>1605</v>
      </c>
      <c r="H501" s="4" t="str">
        <f t="shared" si="5"/>
        <v>Binh thuong</v>
      </c>
    </row>
    <row r="502" ht="14.25" customHeight="1">
      <c r="A502" s="4" t="s">
        <v>518</v>
      </c>
      <c r="B502" s="4">
        <v>9303.0</v>
      </c>
      <c r="C502" s="4" t="s">
        <v>300</v>
      </c>
      <c r="D502" s="4" t="str">
        <f t="shared" si="1"/>
        <v>XGBoost</v>
      </c>
      <c r="E502" s="4">
        <f t="shared" si="2"/>
        <v>1594.8</v>
      </c>
      <c r="F502" s="4">
        <f t="shared" si="3"/>
        <v>561.1333333</v>
      </c>
      <c r="G502" s="4">
        <f t="shared" si="4"/>
        <v>1595</v>
      </c>
      <c r="H502" s="4" t="str">
        <f t="shared" si="5"/>
        <v>Binh thuong</v>
      </c>
    </row>
    <row r="503" ht="14.25" customHeight="1">
      <c r="A503" s="4" t="s">
        <v>519</v>
      </c>
      <c r="B503" s="4">
        <v>9275.0</v>
      </c>
      <c r="C503" s="4" t="s">
        <v>300</v>
      </c>
      <c r="D503" s="4" t="str">
        <f t="shared" si="1"/>
        <v>XGBoost</v>
      </c>
      <c r="E503" s="4">
        <f t="shared" si="2"/>
        <v>1590</v>
      </c>
      <c r="F503" s="4">
        <f t="shared" si="3"/>
        <v>559.4444444</v>
      </c>
      <c r="G503" s="4">
        <f t="shared" si="4"/>
        <v>1590</v>
      </c>
      <c r="H503" s="4" t="str">
        <f t="shared" si="5"/>
        <v>Binh thuong</v>
      </c>
    </row>
    <row r="504" ht="14.25" customHeight="1">
      <c r="A504" s="4" t="s">
        <v>520</v>
      </c>
      <c r="B504" s="4">
        <v>9254.0</v>
      </c>
      <c r="C504" s="4" t="s">
        <v>300</v>
      </c>
      <c r="D504" s="4" t="str">
        <f t="shared" si="1"/>
        <v>XGBoost</v>
      </c>
      <c r="E504" s="4">
        <f t="shared" si="2"/>
        <v>1586.4</v>
      </c>
      <c r="F504" s="4">
        <f t="shared" si="3"/>
        <v>558.1777778</v>
      </c>
      <c r="G504" s="4">
        <f t="shared" si="4"/>
        <v>1586</v>
      </c>
      <c r="H504" s="4" t="str">
        <f t="shared" si="5"/>
        <v>Binh thuong</v>
      </c>
    </row>
    <row r="505" ht="14.25" customHeight="1">
      <c r="A505" s="4" t="s">
        <v>521</v>
      </c>
      <c r="B505" s="4">
        <v>9223.0</v>
      </c>
      <c r="C505" s="4" t="s">
        <v>300</v>
      </c>
      <c r="D505" s="4" t="str">
        <f t="shared" si="1"/>
        <v>XGBoost</v>
      </c>
      <c r="E505" s="4">
        <f t="shared" si="2"/>
        <v>1581.085714</v>
      </c>
      <c r="F505" s="4">
        <f t="shared" si="3"/>
        <v>556.3079365</v>
      </c>
      <c r="G505" s="4">
        <f t="shared" si="4"/>
        <v>1581</v>
      </c>
      <c r="H505" s="4" t="str">
        <f t="shared" si="5"/>
        <v>Binh thuong</v>
      </c>
    </row>
    <row r="506" ht="14.25" customHeight="1">
      <c r="A506" s="4" t="s">
        <v>522</v>
      </c>
      <c r="B506" s="4">
        <v>9168.0</v>
      </c>
      <c r="C506" s="4" t="s">
        <v>300</v>
      </c>
      <c r="D506" s="4" t="str">
        <f t="shared" si="1"/>
        <v>XGBoost</v>
      </c>
      <c r="E506" s="4">
        <f t="shared" si="2"/>
        <v>1571.657143</v>
      </c>
      <c r="F506" s="4">
        <f t="shared" si="3"/>
        <v>552.9904762</v>
      </c>
      <c r="G506" s="4">
        <f t="shared" si="4"/>
        <v>1572</v>
      </c>
      <c r="H506" s="4" t="str">
        <f t="shared" si="5"/>
        <v>Binh thuong</v>
      </c>
    </row>
    <row r="507" ht="14.25" customHeight="1">
      <c r="A507" s="4" t="s">
        <v>523</v>
      </c>
      <c r="B507" s="4">
        <v>9120.0</v>
      </c>
      <c r="C507" s="4" t="s">
        <v>300</v>
      </c>
      <c r="D507" s="4" t="str">
        <f t="shared" si="1"/>
        <v>XGBoost</v>
      </c>
      <c r="E507" s="4">
        <f t="shared" si="2"/>
        <v>1563.428571</v>
      </c>
      <c r="F507" s="4">
        <f t="shared" si="3"/>
        <v>550.0952381</v>
      </c>
      <c r="G507" s="4">
        <f t="shared" si="4"/>
        <v>1563</v>
      </c>
      <c r="H507" s="4" t="str">
        <f t="shared" si="5"/>
        <v>Binh thuong</v>
      </c>
    </row>
    <row r="508" ht="14.25" customHeight="1">
      <c r="A508" s="4" t="s">
        <v>524</v>
      </c>
      <c r="B508" s="4">
        <v>9091.0</v>
      </c>
      <c r="C508" s="4" t="s">
        <v>300</v>
      </c>
      <c r="D508" s="4" t="str">
        <f t="shared" si="1"/>
        <v>XGBoost</v>
      </c>
      <c r="E508" s="4">
        <f t="shared" si="2"/>
        <v>1558.457143</v>
      </c>
      <c r="F508" s="4">
        <f t="shared" si="3"/>
        <v>548.3460317</v>
      </c>
      <c r="G508" s="4">
        <f t="shared" si="4"/>
        <v>1558</v>
      </c>
      <c r="H508" s="4" t="str">
        <f t="shared" si="5"/>
        <v>Binh thuong</v>
      </c>
    </row>
    <row r="509" ht="14.25" customHeight="1">
      <c r="A509" s="4" t="s">
        <v>525</v>
      </c>
      <c r="B509" s="4">
        <v>9088.0</v>
      </c>
      <c r="C509" s="4" t="s">
        <v>300</v>
      </c>
      <c r="D509" s="4" t="str">
        <f t="shared" si="1"/>
        <v>XGBoost</v>
      </c>
      <c r="E509" s="4">
        <f t="shared" si="2"/>
        <v>1557.942857</v>
      </c>
      <c r="F509" s="4">
        <f t="shared" si="3"/>
        <v>548.1650794</v>
      </c>
      <c r="G509" s="4">
        <f t="shared" si="4"/>
        <v>1558</v>
      </c>
      <c r="H509" s="4" t="str">
        <f t="shared" si="5"/>
        <v>Binh thuong</v>
      </c>
    </row>
    <row r="510" ht="14.25" customHeight="1">
      <c r="A510" s="4" t="s">
        <v>526</v>
      </c>
      <c r="B510" s="4">
        <v>9016.0</v>
      </c>
      <c r="C510" s="4" t="s">
        <v>300</v>
      </c>
      <c r="D510" s="4" t="str">
        <f t="shared" si="1"/>
        <v>XGBoost</v>
      </c>
      <c r="E510" s="4">
        <f t="shared" si="2"/>
        <v>1545.6</v>
      </c>
      <c r="F510" s="4">
        <f t="shared" si="3"/>
        <v>543.8222222</v>
      </c>
      <c r="G510" s="4">
        <f t="shared" si="4"/>
        <v>1546</v>
      </c>
      <c r="H510" s="4" t="str">
        <f t="shared" si="5"/>
        <v>Binh thuong</v>
      </c>
    </row>
    <row r="511" ht="14.25" customHeight="1">
      <c r="A511" s="4" t="s">
        <v>527</v>
      </c>
      <c r="B511" s="4">
        <v>8887.0</v>
      </c>
      <c r="C511" s="4" t="s">
        <v>300</v>
      </c>
      <c r="D511" s="4" t="str">
        <f t="shared" si="1"/>
        <v>XGBoost</v>
      </c>
      <c r="E511" s="4">
        <f t="shared" si="2"/>
        <v>1523.485714</v>
      </c>
      <c r="F511" s="4">
        <f t="shared" si="3"/>
        <v>536.0412698</v>
      </c>
      <c r="G511" s="4">
        <f t="shared" si="4"/>
        <v>1523</v>
      </c>
      <c r="H511" s="4" t="str">
        <f t="shared" si="5"/>
        <v>Binh thuong</v>
      </c>
    </row>
    <row r="512" ht="14.25" customHeight="1">
      <c r="A512" s="4" t="s">
        <v>528</v>
      </c>
      <c r="B512" s="4">
        <v>8764.0</v>
      </c>
      <c r="C512" s="4" t="s">
        <v>300</v>
      </c>
      <c r="D512" s="4" t="str">
        <f t="shared" si="1"/>
        <v>XGBoost</v>
      </c>
      <c r="E512" s="4">
        <f t="shared" si="2"/>
        <v>1502.4</v>
      </c>
      <c r="F512" s="4">
        <f t="shared" si="3"/>
        <v>528.6222222</v>
      </c>
      <c r="G512" s="4">
        <f t="shared" si="4"/>
        <v>1502</v>
      </c>
      <c r="H512" s="4" t="str">
        <f t="shared" si="5"/>
        <v>Binh thuong</v>
      </c>
    </row>
    <row r="513" ht="14.25" customHeight="1">
      <c r="A513" s="4" t="s">
        <v>529</v>
      </c>
      <c r="B513" s="4">
        <v>8760.0</v>
      </c>
      <c r="C513" s="4" t="s">
        <v>300</v>
      </c>
      <c r="D513" s="4" t="str">
        <f t="shared" si="1"/>
        <v>XGBoost</v>
      </c>
      <c r="E513" s="4">
        <f t="shared" si="2"/>
        <v>1501.714286</v>
      </c>
      <c r="F513" s="4">
        <f t="shared" si="3"/>
        <v>528.3809524</v>
      </c>
      <c r="G513" s="4">
        <f t="shared" si="4"/>
        <v>1502</v>
      </c>
      <c r="H513" s="4" t="str">
        <f t="shared" si="5"/>
        <v>Binh thuong</v>
      </c>
    </row>
    <row r="514" ht="14.25" customHeight="1">
      <c r="A514" s="4" t="s">
        <v>530</v>
      </c>
      <c r="B514" s="4">
        <v>8752.0</v>
      </c>
      <c r="C514" s="4" t="s">
        <v>300</v>
      </c>
      <c r="D514" s="4" t="str">
        <f t="shared" si="1"/>
        <v>XGBoost</v>
      </c>
      <c r="E514" s="4">
        <f t="shared" si="2"/>
        <v>1500.342857</v>
      </c>
      <c r="F514" s="4">
        <f t="shared" si="3"/>
        <v>527.8984127</v>
      </c>
      <c r="G514" s="4">
        <f t="shared" si="4"/>
        <v>1500</v>
      </c>
      <c r="H514" s="4" t="str">
        <f t="shared" si="5"/>
        <v>Binh thuong</v>
      </c>
    </row>
    <row r="515" ht="14.25" customHeight="1">
      <c r="A515" s="4" t="s">
        <v>531</v>
      </c>
      <c r="B515" s="4">
        <v>8468.0</v>
      </c>
      <c r="C515" s="4" t="s">
        <v>300</v>
      </c>
      <c r="D515" s="4" t="str">
        <f t="shared" si="1"/>
        <v>XGBoost</v>
      </c>
      <c r="E515" s="4">
        <f t="shared" si="2"/>
        <v>1451.657143</v>
      </c>
      <c r="F515" s="4">
        <f t="shared" si="3"/>
        <v>510.768254</v>
      </c>
      <c r="G515" s="4">
        <f t="shared" si="4"/>
        <v>1452</v>
      </c>
      <c r="H515" s="4" t="str">
        <f t="shared" si="5"/>
        <v>Binh thuong</v>
      </c>
    </row>
    <row r="516" ht="14.25" customHeight="1">
      <c r="A516" s="4" t="s">
        <v>532</v>
      </c>
      <c r="B516" s="4">
        <v>8440.0</v>
      </c>
      <c r="C516" s="4" t="s">
        <v>300</v>
      </c>
      <c r="D516" s="4" t="str">
        <f t="shared" si="1"/>
        <v>XGBoost</v>
      </c>
      <c r="E516" s="4">
        <f t="shared" si="2"/>
        <v>1446.857143</v>
      </c>
      <c r="F516" s="4">
        <f t="shared" si="3"/>
        <v>509.0793651</v>
      </c>
      <c r="G516" s="4">
        <f t="shared" si="4"/>
        <v>1447</v>
      </c>
      <c r="H516" s="4" t="str">
        <f t="shared" si="5"/>
        <v>Binh thuong</v>
      </c>
    </row>
    <row r="517" ht="14.25" customHeight="1">
      <c r="A517" s="4" t="s">
        <v>533</v>
      </c>
      <c r="B517" s="4">
        <v>8430.0</v>
      </c>
      <c r="C517" s="4" t="s">
        <v>300</v>
      </c>
      <c r="D517" s="4" t="str">
        <f t="shared" si="1"/>
        <v>XGBoost</v>
      </c>
      <c r="E517" s="4">
        <f t="shared" si="2"/>
        <v>1445.142857</v>
      </c>
      <c r="F517" s="4">
        <f t="shared" si="3"/>
        <v>508.4761905</v>
      </c>
      <c r="G517" s="4">
        <f t="shared" si="4"/>
        <v>1445</v>
      </c>
      <c r="H517" s="4" t="str">
        <f t="shared" si="5"/>
        <v>Binh thuong</v>
      </c>
    </row>
    <row r="518" ht="14.25" customHeight="1">
      <c r="A518" s="4" t="s">
        <v>534</v>
      </c>
      <c r="B518" s="4">
        <v>8411.0</v>
      </c>
      <c r="C518" s="4" t="s">
        <v>300</v>
      </c>
      <c r="D518" s="4" t="str">
        <f t="shared" si="1"/>
        <v>XGBoost</v>
      </c>
      <c r="E518" s="4">
        <f t="shared" si="2"/>
        <v>1441.885714</v>
      </c>
      <c r="F518" s="4">
        <f t="shared" si="3"/>
        <v>507.3301587</v>
      </c>
      <c r="G518" s="4">
        <f t="shared" si="4"/>
        <v>1442</v>
      </c>
      <c r="H518" s="4" t="str">
        <f t="shared" si="5"/>
        <v>Binh thuong</v>
      </c>
    </row>
    <row r="519" ht="14.25" customHeight="1">
      <c r="A519" s="4" t="s">
        <v>535</v>
      </c>
      <c r="B519" s="4">
        <v>8401.0</v>
      </c>
      <c r="C519" s="4" t="s">
        <v>300</v>
      </c>
      <c r="D519" s="4" t="str">
        <f t="shared" si="1"/>
        <v>XGBoost</v>
      </c>
      <c r="E519" s="4">
        <f t="shared" si="2"/>
        <v>1440.171429</v>
      </c>
      <c r="F519" s="4">
        <f t="shared" si="3"/>
        <v>506.7269841</v>
      </c>
      <c r="G519" s="4">
        <f t="shared" si="4"/>
        <v>1440</v>
      </c>
      <c r="H519" s="4" t="str">
        <f t="shared" si="5"/>
        <v>Binh thuong</v>
      </c>
    </row>
    <row r="520" ht="14.25" customHeight="1">
      <c r="A520" s="4" t="s">
        <v>536</v>
      </c>
      <c r="B520" s="4">
        <v>8206.0</v>
      </c>
      <c r="C520" s="4" t="s">
        <v>300</v>
      </c>
      <c r="D520" s="4" t="str">
        <f t="shared" si="1"/>
        <v>XGBoost</v>
      </c>
      <c r="E520" s="4">
        <f t="shared" si="2"/>
        <v>1406.742857</v>
      </c>
      <c r="F520" s="4">
        <f t="shared" si="3"/>
        <v>494.9650794</v>
      </c>
      <c r="G520" s="4">
        <f t="shared" si="4"/>
        <v>1407</v>
      </c>
      <c r="H520" s="4" t="str">
        <f t="shared" si="5"/>
        <v>Binh thuong</v>
      </c>
    </row>
    <row r="521" ht="14.25" customHeight="1">
      <c r="A521" s="4" t="s">
        <v>537</v>
      </c>
      <c r="B521" s="4">
        <v>8203.0</v>
      </c>
      <c r="C521" s="4" t="s">
        <v>300</v>
      </c>
      <c r="D521" s="4" t="str">
        <f t="shared" si="1"/>
        <v>XGBoost</v>
      </c>
      <c r="E521" s="4">
        <f t="shared" si="2"/>
        <v>1406.228571</v>
      </c>
      <c r="F521" s="4">
        <f t="shared" si="3"/>
        <v>494.784127</v>
      </c>
      <c r="G521" s="4">
        <f t="shared" si="4"/>
        <v>1406</v>
      </c>
      <c r="H521" s="4" t="str">
        <f t="shared" si="5"/>
        <v>Binh thuong</v>
      </c>
    </row>
    <row r="522" ht="14.25" customHeight="1">
      <c r="A522" s="4" t="s">
        <v>538</v>
      </c>
      <c r="B522" s="4">
        <v>8167.0</v>
      </c>
      <c r="C522" s="4" t="s">
        <v>300</v>
      </c>
      <c r="D522" s="4" t="str">
        <f t="shared" si="1"/>
        <v>XGBoost</v>
      </c>
      <c r="E522" s="4">
        <f t="shared" si="2"/>
        <v>1400.057143</v>
      </c>
      <c r="F522" s="4">
        <f t="shared" si="3"/>
        <v>492.6126984</v>
      </c>
      <c r="G522" s="4">
        <f t="shared" si="4"/>
        <v>1400</v>
      </c>
      <c r="H522" s="4" t="str">
        <f t="shared" si="5"/>
        <v>Binh thuong</v>
      </c>
    </row>
    <row r="523" ht="14.25" customHeight="1">
      <c r="A523" s="4" t="s">
        <v>539</v>
      </c>
      <c r="B523" s="4">
        <v>8144.0</v>
      </c>
      <c r="C523" s="4" t="s">
        <v>300</v>
      </c>
      <c r="D523" s="4" t="str">
        <f t="shared" si="1"/>
        <v>XGBoost</v>
      </c>
      <c r="E523" s="4">
        <f t="shared" si="2"/>
        <v>1396.114286</v>
      </c>
      <c r="F523" s="4">
        <f t="shared" si="3"/>
        <v>491.2253968</v>
      </c>
      <c r="G523" s="4">
        <f t="shared" si="4"/>
        <v>1396</v>
      </c>
      <c r="H523" s="4" t="str">
        <f t="shared" si="5"/>
        <v>Binh thuong</v>
      </c>
    </row>
    <row r="524" ht="14.25" customHeight="1">
      <c r="A524" s="4" t="s">
        <v>540</v>
      </c>
      <c r="B524" s="4">
        <v>8103.0</v>
      </c>
      <c r="C524" s="4" t="s">
        <v>300</v>
      </c>
      <c r="D524" s="4" t="str">
        <f t="shared" si="1"/>
        <v>XGBoost</v>
      </c>
      <c r="E524" s="4">
        <f t="shared" si="2"/>
        <v>1389.085714</v>
      </c>
      <c r="F524" s="4">
        <f t="shared" si="3"/>
        <v>488.752381</v>
      </c>
      <c r="G524" s="4">
        <f t="shared" si="4"/>
        <v>1389</v>
      </c>
      <c r="H524" s="4" t="str">
        <f t="shared" si="5"/>
        <v>Binh thuong</v>
      </c>
    </row>
    <row r="525" ht="14.25" customHeight="1">
      <c r="A525" s="4" t="s">
        <v>541</v>
      </c>
      <c r="B525" s="4">
        <v>8015.0</v>
      </c>
      <c r="C525" s="4" t="s">
        <v>300</v>
      </c>
      <c r="D525" s="4" t="str">
        <f t="shared" si="1"/>
        <v>XGBoost</v>
      </c>
      <c r="E525" s="4">
        <f t="shared" si="2"/>
        <v>1374</v>
      </c>
      <c r="F525" s="4">
        <f t="shared" si="3"/>
        <v>483.4444444</v>
      </c>
      <c r="G525" s="4">
        <f t="shared" si="4"/>
        <v>1374</v>
      </c>
      <c r="H525" s="4" t="str">
        <f t="shared" si="5"/>
        <v>Binh thuong</v>
      </c>
    </row>
    <row r="526" ht="14.25" customHeight="1">
      <c r="A526" s="4" t="s">
        <v>542</v>
      </c>
      <c r="B526" s="4">
        <v>7926.0</v>
      </c>
      <c r="C526" s="4" t="s">
        <v>300</v>
      </c>
      <c r="D526" s="4" t="str">
        <f t="shared" si="1"/>
        <v>XGBoost</v>
      </c>
      <c r="E526" s="4">
        <f t="shared" si="2"/>
        <v>1358.742857</v>
      </c>
      <c r="F526" s="4">
        <f t="shared" si="3"/>
        <v>478.0761905</v>
      </c>
      <c r="G526" s="4">
        <f t="shared" si="4"/>
        <v>1359</v>
      </c>
      <c r="H526" s="4" t="str">
        <f t="shared" si="5"/>
        <v>Binh thuong</v>
      </c>
    </row>
    <row r="527" ht="14.25" customHeight="1">
      <c r="A527" s="4" t="s">
        <v>543</v>
      </c>
      <c r="B527" s="4">
        <v>7816.0</v>
      </c>
      <c r="C527" s="4" t="s">
        <v>300</v>
      </c>
      <c r="D527" s="4" t="str">
        <f t="shared" si="1"/>
        <v>XGBoost</v>
      </c>
      <c r="E527" s="4">
        <f t="shared" si="2"/>
        <v>1339.885714</v>
      </c>
      <c r="F527" s="4">
        <f t="shared" si="3"/>
        <v>471.4412698</v>
      </c>
      <c r="G527" s="4">
        <f t="shared" si="4"/>
        <v>1340</v>
      </c>
      <c r="H527" s="4" t="str">
        <f t="shared" si="5"/>
        <v>Binh thuong</v>
      </c>
    </row>
    <row r="528" ht="14.25" customHeight="1">
      <c r="A528" s="4" t="s">
        <v>544</v>
      </c>
      <c r="B528" s="4">
        <v>7741.0</v>
      </c>
      <c r="C528" s="4" t="s">
        <v>300</v>
      </c>
      <c r="D528" s="4" t="str">
        <f t="shared" si="1"/>
        <v>XGBoost</v>
      </c>
      <c r="E528" s="4">
        <f t="shared" si="2"/>
        <v>1327.028571</v>
      </c>
      <c r="F528" s="4">
        <f t="shared" si="3"/>
        <v>466.9174603</v>
      </c>
      <c r="G528" s="4">
        <f t="shared" si="4"/>
        <v>1327</v>
      </c>
      <c r="H528" s="4" t="str">
        <f t="shared" si="5"/>
        <v>Binh thuong</v>
      </c>
    </row>
    <row r="529" ht="14.25" customHeight="1">
      <c r="A529" s="4" t="s">
        <v>545</v>
      </c>
      <c r="B529" s="4">
        <v>7546.0</v>
      </c>
      <c r="C529" s="4" t="s">
        <v>300</v>
      </c>
      <c r="D529" s="4" t="str">
        <f t="shared" si="1"/>
        <v>XGBoost</v>
      </c>
      <c r="E529" s="4">
        <f t="shared" si="2"/>
        <v>1293.6</v>
      </c>
      <c r="F529" s="4">
        <f t="shared" si="3"/>
        <v>455.1555556</v>
      </c>
      <c r="G529" s="4">
        <f t="shared" si="4"/>
        <v>1294</v>
      </c>
      <c r="H529" s="4" t="str">
        <f t="shared" si="5"/>
        <v>Binh thuong</v>
      </c>
    </row>
    <row r="530" ht="14.25" customHeight="1">
      <c r="A530" s="4" t="s">
        <v>546</v>
      </c>
      <c r="B530" s="4">
        <v>7508.0</v>
      </c>
      <c r="C530" s="4" t="s">
        <v>300</v>
      </c>
      <c r="D530" s="4" t="str">
        <f t="shared" si="1"/>
        <v>XGBoost</v>
      </c>
      <c r="E530" s="4">
        <f t="shared" si="2"/>
        <v>1287.085714</v>
      </c>
      <c r="F530" s="4">
        <f t="shared" si="3"/>
        <v>452.8634921</v>
      </c>
      <c r="G530" s="4">
        <f t="shared" si="4"/>
        <v>1287</v>
      </c>
      <c r="H530" s="4" t="str">
        <f t="shared" si="5"/>
        <v>Binh thuong</v>
      </c>
    </row>
    <row r="531" ht="14.25" customHeight="1">
      <c r="A531" s="4" t="s">
        <v>547</v>
      </c>
      <c r="B531" s="4">
        <v>7272.0</v>
      </c>
      <c r="C531" s="4" t="s">
        <v>300</v>
      </c>
      <c r="D531" s="4" t="str">
        <f t="shared" si="1"/>
        <v>XGBoost</v>
      </c>
      <c r="E531" s="4">
        <f t="shared" si="2"/>
        <v>1246.628571</v>
      </c>
      <c r="F531" s="4">
        <f t="shared" si="3"/>
        <v>438.6285714</v>
      </c>
      <c r="G531" s="4">
        <f t="shared" si="4"/>
        <v>1247</v>
      </c>
      <c r="H531" s="4" t="str">
        <f t="shared" si="5"/>
        <v>Binh thuong</v>
      </c>
    </row>
    <row r="532" ht="14.25" customHeight="1">
      <c r="A532" s="4" t="s">
        <v>548</v>
      </c>
      <c r="B532" s="4">
        <v>7229.0</v>
      </c>
      <c r="C532" s="4" t="s">
        <v>300</v>
      </c>
      <c r="D532" s="4" t="str">
        <f t="shared" si="1"/>
        <v>XGBoost</v>
      </c>
      <c r="E532" s="4">
        <f t="shared" si="2"/>
        <v>1239.257143</v>
      </c>
      <c r="F532" s="4">
        <f t="shared" si="3"/>
        <v>436.0349206</v>
      </c>
      <c r="G532" s="4">
        <f t="shared" si="4"/>
        <v>1239</v>
      </c>
      <c r="H532" s="4" t="str">
        <f t="shared" si="5"/>
        <v>Binh thuong</v>
      </c>
    </row>
    <row r="533" ht="14.25" customHeight="1">
      <c r="A533" s="4" t="s">
        <v>549</v>
      </c>
      <c r="B533" s="4">
        <v>7164.0</v>
      </c>
      <c r="C533" s="4" t="s">
        <v>300</v>
      </c>
      <c r="D533" s="4" t="str">
        <f t="shared" si="1"/>
        <v>XGBoost</v>
      </c>
      <c r="E533" s="4">
        <f t="shared" si="2"/>
        <v>1228.114286</v>
      </c>
      <c r="F533" s="4">
        <f t="shared" si="3"/>
        <v>432.1142857</v>
      </c>
      <c r="G533" s="4">
        <f t="shared" si="4"/>
        <v>1228</v>
      </c>
      <c r="H533" s="4" t="str">
        <f t="shared" si="5"/>
        <v>Binh thuong</v>
      </c>
    </row>
    <row r="534" ht="14.25" customHeight="1">
      <c r="A534" s="4" t="s">
        <v>550</v>
      </c>
      <c r="B534" s="4">
        <v>7120.0</v>
      </c>
      <c r="C534" s="4" t="s">
        <v>300</v>
      </c>
      <c r="D534" s="4" t="str">
        <f t="shared" si="1"/>
        <v>XGBoost</v>
      </c>
      <c r="E534" s="4">
        <f t="shared" si="2"/>
        <v>1220.571429</v>
      </c>
      <c r="F534" s="4">
        <f t="shared" si="3"/>
        <v>429.4603175</v>
      </c>
      <c r="G534" s="4">
        <f t="shared" si="4"/>
        <v>1221</v>
      </c>
      <c r="H534" s="4" t="str">
        <f t="shared" si="5"/>
        <v>Binh thuong</v>
      </c>
    </row>
    <row r="535" ht="14.25" customHeight="1">
      <c r="A535" s="4" t="s">
        <v>551</v>
      </c>
      <c r="B535" s="4">
        <v>7082.0</v>
      </c>
      <c r="C535" s="4" t="s">
        <v>300</v>
      </c>
      <c r="D535" s="4" t="str">
        <f t="shared" si="1"/>
        <v>XGBoost</v>
      </c>
      <c r="E535" s="4">
        <f t="shared" si="2"/>
        <v>1214.057143</v>
      </c>
      <c r="F535" s="4">
        <f t="shared" si="3"/>
        <v>427.168254</v>
      </c>
      <c r="G535" s="4">
        <f t="shared" si="4"/>
        <v>1214</v>
      </c>
      <c r="H535" s="4" t="str">
        <f t="shared" si="5"/>
        <v>Binh thuong</v>
      </c>
    </row>
    <row r="536" ht="14.25" customHeight="1">
      <c r="A536" s="4" t="s">
        <v>552</v>
      </c>
      <c r="B536" s="4">
        <v>7079.0</v>
      </c>
      <c r="C536" s="4" t="s">
        <v>300</v>
      </c>
      <c r="D536" s="4" t="str">
        <f t="shared" si="1"/>
        <v>XGBoost</v>
      </c>
      <c r="E536" s="4">
        <f t="shared" si="2"/>
        <v>1213.542857</v>
      </c>
      <c r="F536" s="4">
        <f t="shared" si="3"/>
        <v>426.9873016</v>
      </c>
      <c r="G536" s="4">
        <f t="shared" si="4"/>
        <v>1214</v>
      </c>
      <c r="H536" s="4" t="str">
        <f t="shared" si="5"/>
        <v>Binh thuong</v>
      </c>
    </row>
    <row r="537" ht="14.25" customHeight="1">
      <c r="A537" s="4" t="s">
        <v>553</v>
      </c>
      <c r="B537" s="4">
        <v>7053.0</v>
      </c>
      <c r="C537" s="4" t="s">
        <v>300</v>
      </c>
      <c r="D537" s="4" t="str">
        <f t="shared" si="1"/>
        <v>XGBoost</v>
      </c>
      <c r="E537" s="4">
        <f t="shared" si="2"/>
        <v>1209.085714</v>
      </c>
      <c r="F537" s="4">
        <f t="shared" si="3"/>
        <v>425.4190476</v>
      </c>
      <c r="G537" s="4">
        <f t="shared" si="4"/>
        <v>1209</v>
      </c>
      <c r="H537" s="4" t="str">
        <f t="shared" si="5"/>
        <v>Binh thuong</v>
      </c>
    </row>
    <row r="538" ht="14.25" customHeight="1">
      <c r="A538" s="4" t="s">
        <v>554</v>
      </c>
      <c r="B538" s="4">
        <v>6988.0</v>
      </c>
      <c r="C538" s="4" t="s">
        <v>300</v>
      </c>
      <c r="D538" s="4" t="str">
        <f t="shared" si="1"/>
        <v>XGBoost</v>
      </c>
      <c r="E538" s="4">
        <f t="shared" si="2"/>
        <v>1197.942857</v>
      </c>
      <c r="F538" s="4">
        <f t="shared" si="3"/>
        <v>421.4984127</v>
      </c>
      <c r="G538" s="4">
        <f t="shared" si="4"/>
        <v>1198</v>
      </c>
      <c r="H538" s="4" t="str">
        <f t="shared" si="5"/>
        <v>Binh thuong</v>
      </c>
    </row>
    <row r="539" ht="14.25" customHeight="1">
      <c r="A539" s="4" t="s">
        <v>555</v>
      </c>
      <c r="B539" s="4">
        <v>6913.0</v>
      </c>
      <c r="C539" s="4" t="s">
        <v>300</v>
      </c>
      <c r="D539" s="4" t="str">
        <f t="shared" si="1"/>
        <v>XGBoost</v>
      </c>
      <c r="E539" s="4">
        <f t="shared" si="2"/>
        <v>1185.085714</v>
      </c>
      <c r="F539" s="4">
        <f t="shared" si="3"/>
        <v>416.9746032</v>
      </c>
      <c r="G539" s="4">
        <f t="shared" si="4"/>
        <v>1185</v>
      </c>
      <c r="H539" s="4" t="str">
        <f t="shared" si="5"/>
        <v>Binh thuong</v>
      </c>
    </row>
    <row r="540" ht="14.25" customHeight="1">
      <c r="A540" s="4" t="s">
        <v>556</v>
      </c>
      <c r="B540" s="4">
        <v>6868.0</v>
      </c>
      <c r="C540" s="4" t="s">
        <v>300</v>
      </c>
      <c r="D540" s="4" t="str">
        <f t="shared" si="1"/>
        <v>XGBoost</v>
      </c>
      <c r="E540" s="4">
        <f t="shared" si="2"/>
        <v>1177.371429</v>
      </c>
      <c r="F540" s="4">
        <f t="shared" si="3"/>
        <v>414.2603175</v>
      </c>
      <c r="G540" s="4">
        <f t="shared" si="4"/>
        <v>1177</v>
      </c>
      <c r="H540" s="4" t="str">
        <f t="shared" si="5"/>
        <v>Binh thuong</v>
      </c>
    </row>
    <row r="541" ht="14.25" customHeight="1">
      <c r="A541" s="4" t="s">
        <v>557</v>
      </c>
      <c r="B541" s="4">
        <v>6858.0</v>
      </c>
      <c r="C541" s="4" t="s">
        <v>300</v>
      </c>
      <c r="D541" s="4" t="str">
        <f t="shared" si="1"/>
        <v>XGBoost</v>
      </c>
      <c r="E541" s="4">
        <f t="shared" si="2"/>
        <v>1175.657143</v>
      </c>
      <c r="F541" s="4">
        <f t="shared" si="3"/>
        <v>413.6571429</v>
      </c>
      <c r="G541" s="4">
        <f t="shared" si="4"/>
        <v>1176</v>
      </c>
      <c r="H541" s="4" t="str">
        <f t="shared" si="5"/>
        <v>Binh thuong</v>
      </c>
    </row>
    <row r="542" ht="14.25" customHeight="1">
      <c r="A542" s="4" t="s">
        <v>558</v>
      </c>
      <c r="B542" s="4">
        <v>6822.0</v>
      </c>
      <c r="C542" s="4" t="s">
        <v>300</v>
      </c>
      <c r="D542" s="4" t="str">
        <f t="shared" si="1"/>
        <v>XGBoost</v>
      </c>
      <c r="E542" s="4">
        <f t="shared" si="2"/>
        <v>1169.485714</v>
      </c>
      <c r="F542" s="4">
        <f t="shared" si="3"/>
        <v>411.4857143</v>
      </c>
      <c r="G542" s="4">
        <f t="shared" si="4"/>
        <v>1169</v>
      </c>
      <c r="H542" s="4" t="str">
        <f t="shared" si="5"/>
        <v>Binh thuong</v>
      </c>
    </row>
    <row r="543" ht="14.25" customHeight="1">
      <c r="A543" s="4" t="s">
        <v>559</v>
      </c>
      <c r="B543" s="4">
        <v>6640.0</v>
      </c>
      <c r="C543" s="4" t="s">
        <v>300</v>
      </c>
      <c r="D543" s="4" t="str">
        <f t="shared" si="1"/>
        <v>XGBoost</v>
      </c>
      <c r="E543" s="4">
        <f t="shared" si="2"/>
        <v>1138.285714</v>
      </c>
      <c r="F543" s="4">
        <f t="shared" si="3"/>
        <v>400.5079365</v>
      </c>
      <c r="G543" s="4">
        <f t="shared" si="4"/>
        <v>1138</v>
      </c>
      <c r="H543" s="4" t="str">
        <f t="shared" si="5"/>
        <v>Binh thuong</v>
      </c>
    </row>
    <row r="544" ht="14.25" customHeight="1">
      <c r="A544" s="4" t="s">
        <v>560</v>
      </c>
      <c r="B544" s="4">
        <v>6567.0</v>
      </c>
      <c r="C544" s="4" t="s">
        <v>300</v>
      </c>
      <c r="D544" s="4" t="str">
        <f t="shared" si="1"/>
        <v>XGBoost</v>
      </c>
      <c r="E544" s="4">
        <f t="shared" si="2"/>
        <v>1125.771429</v>
      </c>
      <c r="F544" s="4">
        <f t="shared" si="3"/>
        <v>396.1047619</v>
      </c>
      <c r="G544" s="4">
        <f t="shared" si="4"/>
        <v>1126</v>
      </c>
      <c r="H544" s="4" t="str">
        <f t="shared" si="5"/>
        <v>Binh thuong</v>
      </c>
    </row>
    <row r="545" ht="14.25" customHeight="1">
      <c r="A545" s="4" t="s">
        <v>561</v>
      </c>
      <c r="B545" s="4">
        <v>6545.0</v>
      </c>
      <c r="C545" s="4" t="s">
        <v>300</v>
      </c>
      <c r="D545" s="4" t="str">
        <f t="shared" si="1"/>
        <v>XGBoost</v>
      </c>
      <c r="E545" s="4">
        <f t="shared" si="2"/>
        <v>1122</v>
      </c>
      <c r="F545" s="4">
        <f t="shared" si="3"/>
        <v>394.7777778</v>
      </c>
      <c r="G545" s="4">
        <f t="shared" si="4"/>
        <v>1122</v>
      </c>
      <c r="H545" s="4" t="str">
        <f t="shared" si="5"/>
        <v>Binh thuong</v>
      </c>
    </row>
    <row r="546" ht="14.25" customHeight="1">
      <c r="A546" s="4" t="s">
        <v>562</v>
      </c>
      <c r="B546" s="4">
        <v>6521.0</v>
      </c>
      <c r="C546" s="4" t="s">
        <v>300</v>
      </c>
      <c r="D546" s="4" t="str">
        <f t="shared" si="1"/>
        <v>XGBoost</v>
      </c>
      <c r="E546" s="4">
        <f t="shared" si="2"/>
        <v>1117.885714</v>
      </c>
      <c r="F546" s="4">
        <f t="shared" si="3"/>
        <v>393.3301587</v>
      </c>
      <c r="G546" s="4">
        <f t="shared" si="4"/>
        <v>1118</v>
      </c>
      <c r="H546" s="4" t="str">
        <f t="shared" si="5"/>
        <v>Binh thuong</v>
      </c>
    </row>
    <row r="547" ht="14.25" customHeight="1">
      <c r="A547" s="4" t="s">
        <v>563</v>
      </c>
      <c r="B547" s="4">
        <v>6431.0</v>
      </c>
      <c r="C547" s="4" t="s">
        <v>300</v>
      </c>
      <c r="D547" s="4" t="str">
        <f t="shared" si="1"/>
        <v>XGBoost</v>
      </c>
      <c r="E547" s="4">
        <f t="shared" si="2"/>
        <v>1102.457143</v>
      </c>
      <c r="F547" s="4">
        <f t="shared" si="3"/>
        <v>387.9015873</v>
      </c>
      <c r="G547" s="4">
        <f t="shared" si="4"/>
        <v>1102</v>
      </c>
      <c r="H547" s="4" t="str">
        <f t="shared" si="5"/>
        <v>Binh thuong</v>
      </c>
    </row>
    <row r="548" ht="14.25" customHeight="1">
      <c r="A548" s="4" t="s">
        <v>564</v>
      </c>
      <c r="B548" s="4">
        <v>6420.0</v>
      </c>
      <c r="C548" s="4" t="s">
        <v>300</v>
      </c>
      <c r="D548" s="4" t="str">
        <f t="shared" si="1"/>
        <v>XGBoost</v>
      </c>
      <c r="E548" s="4">
        <f t="shared" si="2"/>
        <v>1100.571429</v>
      </c>
      <c r="F548" s="4">
        <f t="shared" si="3"/>
        <v>387.2380952</v>
      </c>
      <c r="G548" s="4">
        <f t="shared" si="4"/>
        <v>1101</v>
      </c>
      <c r="H548" s="4" t="str">
        <f t="shared" si="5"/>
        <v>Binh thuong</v>
      </c>
    </row>
    <row r="549" ht="14.25" customHeight="1">
      <c r="A549" s="4" t="s">
        <v>565</v>
      </c>
      <c r="B549" s="4">
        <v>6416.0</v>
      </c>
      <c r="C549" s="4" t="s">
        <v>300</v>
      </c>
      <c r="D549" s="4" t="str">
        <f t="shared" si="1"/>
        <v>XGBoost</v>
      </c>
      <c r="E549" s="4">
        <f t="shared" si="2"/>
        <v>1099.885714</v>
      </c>
      <c r="F549" s="4">
        <f t="shared" si="3"/>
        <v>386.9968254</v>
      </c>
      <c r="G549" s="4">
        <f t="shared" si="4"/>
        <v>1100</v>
      </c>
      <c r="H549" s="4" t="str">
        <f t="shared" si="5"/>
        <v>Binh thuong</v>
      </c>
    </row>
    <row r="550" ht="14.25" customHeight="1">
      <c r="A550" s="4" t="s">
        <v>566</v>
      </c>
      <c r="B550" s="4">
        <v>6340.0</v>
      </c>
      <c r="C550" s="4" t="s">
        <v>300</v>
      </c>
      <c r="D550" s="4" t="str">
        <f t="shared" si="1"/>
        <v>XGBoost</v>
      </c>
      <c r="E550" s="4">
        <f t="shared" si="2"/>
        <v>1086.857143</v>
      </c>
      <c r="F550" s="4">
        <f t="shared" si="3"/>
        <v>382.4126984</v>
      </c>
      <c r="G550" s="4">
        <f t="shared" si="4"/>
        <v>1087</v>
      </c>
      <c r="H550" s="4" t="str">
        <f t="shared" si="5"/>
        <v>Binh thuong</v>
      </c>
    </row>
    <row r="551" ht="14.25" customHeight="1">
      <c r="A551" s="4" t="s">
        <v>567</v>
      </c>
      <c r="B551" s="4">
        <v>6303.0</v>
      </c>
      <c r="C551" s="4" t="s">
        <v>300</v>
      </c>
      <c r="D551" s="4" t="str">
        <f t="shared" si="1"/>
        <v>XGBoost</v>
      </c>
      <c r="E551" s="4">
        <f t="shared" si="2"/>
        <v>1080.514286</v>
      </c>
      <c r="F551" s="4">
        <f t="shared" si="3"/>
        <v>380.1809524</v>
      </c>
      <c r="G551" s="4">
        <f t="shared" si="4"/>
        <v>1081</v>
      </c>
      <c r="H551" s="4" t="str">
        <f t="shared" si="5"/>
        <v>Binh thuong</v>
      </c>
    </row>
    <row r="552" ht="14.25" customHeight="1">
      <c r="A552" s="4" t="s">
        <v>568</v>
      </c>
      <c r="B552" s="4">
        <v>6243.0</v>
      </c>
      <c r="C552" s="4" t="s">
        <v>300</v>
      </c>
      <c r="D552" s="4" t="str">
        <f t="shared" si="1"/>
        <v>XGBoost</v>
      </c>
      <c r="E552" s="4">
        <f t="shared" si="2"/>
        <v>1070.228571</v>
      </c>
      <c r="F552" s="4">
        <f t="shared" si="3"/>
        <v>376.5619048</v>
      </c>
      <c r="G552" s="4">
        <f t="shared" si="4"/>
        <v>1070</v>
      </c>
      <c r="H552" s="4" t="str">
        <f t="shared" si="5"/>
        <v>Binh thuong</v>
      </c>
    </row>
    <row r="553" ht="14.25" customHeight="1">
      <c r="A553" s="4" t="s">
        <v>569</v>
      </c>
      <c r="B553" s="4">
        <v>6152.0</v>
      </c>
      <c r="C553" s="4" t="s">
        <v>300</v>
      </c>
      <c r="D553" s="4" t="str">
        <f t="shared" si="1"/>
        <v>XGBoost</v>
      </c>
      <c r="E553" s="4">
        <f t="shared" si="2"/>
        <v>1054.628571</v>
      </c>
      <c r="F553" s="4">
        <f t="shared" si="3"/>
        <v>371.0730159</v>
      </c>
      <c r="G553" s="4">
        <f t="shared" si="4"/>
        <v>1055</v>
      </c>
      <c r="H553" s="4" t="str">
        <f t="shared" si="5"/>
        <v>Binh thuong</v>
      </c>
    </row>
    <row r="554" ht="14.25" customHeight="1">
      <c r="A554" s="4" t="s">
        <v>570</v>
      </c>
      <c r="B554" s="4">
        <v>6105.0</v>
      </c>
      <c r="C554" s="4" t="s">
        <v>300</v>
      </c>
      <c r="D554" s="4" t="str">
        <f t="shared" si="1"/>
        <v>XGBoost</v>
      </c>
      <c r="E554" s="4">
        <f t="shared" si="2"/>
        <v>1046.571429</v>
      </c>
      <c r="F554" s="4">
        <f t="shared" si="3"/>
        <v>368.2380952</v>
      </c>
      <c r="G554" s="4">
        <f t="shared" si="4"/>
        <v>1047</v>
      </c>
      <c r="H554" s="4" t="str">
        <f t="shared" si="5"/>
        <v>Binh thuong</v>
      </c>
    </row>
    <row r="555" ht="14.25" customHeight="1">
      <c r="A555" s="4" t="s">
        <v>571</v>
      </c>
      <c r="B555" s="4">
        <v>6104.0</v>
      </c>
      <c r="C555" s="4" t="s">
        <v>300</v>
      </c>
      <c r="D555" s="4" t="str">
        <f t="shared" si="1"/>
        <v>XGBoost</v>
      </c>
      <c r="E555" s="4">
        <f t="shared" si="2"/>
        <v>1046.4</v>
      </c>
      <c r="F555" s="4">
        <f t="shared" si="3"/>
        <v>368.1777778</v>
      </c>
      <c r="G555" s="4">
        <f t="shared" si="4"/>
        <v>1046</v>
      </c>
      <c r="H555" s="4" t="str">
        <f t="shared" si="5"/>
        <v>Binh thuong</v>
      </c>
    </row>
    <row r="556" ht="14.25" customHeight="1">
      <c r="A556" s="4" t="s">
        <v>572</v>
      </c>
      <c r="B556" s="4">
        <v>6093.0</v>
      </c>
      <c r="C556" s="4" t="s">
        <v>300</v>
      </c>
      <c r="D556" s="4" t="str">
        <f t="shared" si="1"/>
        <v>XGBoost</v>
      </c>
      <c r="E556" s="4">
        <f t="shared" si="2"/>
        <v>1044.514286</v>
      </c>
      <c r="F556" s="4">
        <f t="shared" si="3"/>
        <v>367.5142857</v>
      </c>
      <c r="G556" s="4">
        <f t="shared" si="4"/>
        <v>1045</v>
      </c>
      <c r="H556" s="4" t="str">
        <f t="shared" si="5"/>
        <v>Binh thuong</v>
      </c>
    </row>
    <row r="557" ht="14.25" customHeight="1">
      <c r="A557" s="4" t="s">
        <v>573</v>
      </c>
      <c r="B557" s="4">
        <v>6049.0</v>
      </c>
      <c r="C557" s="4" t="s">
        <v>300</v>
      </c>
      <c r="D557" s="4" t="str">
        <f t="shared" si="1"/>
        <v>XGBoost</v>
      </c>
      <c r="E557" s="4">
        <f t="shared" si="2"/>
        <v>1036.971429</v>
      </c>
      <c r="F557" s="4">
        <f t="shared" si="3"/>
        <v>364.8603175</v>
      </c>
      <c r="G557" s="4">
        <f t="shared" si="4"/>
        <v>1037</v>
      </c>
      <c r="H557" s="4" t="str">
        <f t="shared" si="5"/>
        <v>Binh thuong</v>
      </c>
    </row>
    <row r="558" ht="14.25" customHeight="1">
      <c r="A558" s="4" t="s">
        <v>574</v>
      </c>
      <c r="B558" s="4">
        <v>6000.0</v>
      </c>
      <c r="C558" s="4" t="s">
        <v>300</v>
      </c>
      <c r="D558" s="4" t="str">
        <f t="shared" si="1"/>
        <v>XGBoost</v>
      </c>
      <c r="E558" s="4">
        <f t="shared" si="2"/>
        <v>1028.571429</v>
      </c>
      <c r="F558" s="4">
        <f t="shared" si="3"/>
        <v>361.9047619</v>
      </c>
      <c r="G558" s="4">
        <f t="shared" si="4"/>
        <v>1029</v>
      </c>
      <c r="H558" s="4" t="str">
        <f t="shared" si="5"/>
        <v>Binh thuong</v>
      </c>
    </row>
    <row r="559" ht="14.25" customHeight="1">
      <c r="A559" s="4" t="s">
        <v>575</v>
      </c>
      <c r="B559" s="4">
        <v>5959.0</v>
      </c>
      <c r="C559" s="4" t="s">
        <v>300</v>
      </c>
      <c r="D559" s="4" t="str">
        <f t="shared" si="1"/>
        <v>XGBoost</v>
      </c>
      <c r="E559" s="4">
        <f t="shared" si="2"/>
        <v>1021.542857</v>
      </c>
      <c r="F559" s="4">
        <f t="shared" si="3"/>
        <v>359.431746</v>
      </c>
      <c r="G559" s="4">
        <f t="shared" si="4"/>
        <v>1022</v>
      </c>
      <c r="H559" s="4" t="str">
        <f t="shared" si="5"/>
        <v>Binh thuong</v>
      </c>
    </row>
    <row r="560" ht="14.25" customHeight="1">
      <c r="A560" s="4" t="s">
        <v>576</v>
      </c>
      <c r="B560" s="4">
        <v>5950.0</v>
      </c>
      <c r="C560" s="4" t="s">
        <v>300</v>
      </c>
      <c r="D560" s="4" t="str">
        <f t="shared" si="1"/>
        <v>XGBoost</v>
      </c>
      <c r="E560" s="4">
        <f t="shared" si="2"/>
        <v>1020</v>
      </c>
      <c r="F560" s="4">
        <f t="shared" si="3"/>
        <v>358.8888889</v>
      </c>
      <c r="G560" s="4">
        <f t="shared" si="4"/>
        <v>1020</v>
      </c>
      <c r="H560" s="4" t="str">
        <f t="shared" si="5"/>
        <v>Binh thuong</v>
      </c>
    </row>
    <row r="561" ht="14.25" customHeight="1">
      <c r="A561" s="4" t="s">
        <v>577</v>
      </c>
      <c r="B561" s="4">
        <v>5881.0</v>
      </c>
      <c r="C561" s="4" t="s">
        <v>300</v>
      </c>
      <c r="D561" s="4" t="str">
        <f t="shared" si="1"/>
        <v>XGBoost</v>
      </c>
      <c r="E561" s="4">
        <f t="shared" si="2"/>
        <v>1008.171429</v>
      </c>
      <c r="F561" s="4">
        <f t="shared" si="3"/>
        <v>354.7269841</v>
      </c>
      <c r="G561" s="4">
        <f t="shared" si="4"/>
        <v>1008</v>
      </c>
      <c r="H561" s="4" t="str">
        <f t="shared" si="5"/>
        <v>Binh thuong</v>
      </c>
    </row>
    <row r="562" ht="14.25" customHeight="1">
      <c r="A562" s="4" t="s">
        <v>578</v>
      </c>
      <c r="B562" s="4">
        <v>5879.0</v>
      </c>
      <c r="C562" s="4" t="s">
        <v>300</v>
      </c>
      <c r="D562" s="4" t="str">
        <f t="shared" si="1"/>
        <v>XGBoost</v>
      </c>
      <c r="E562" s="4">
        <f t="shared" si="2"/>
        <v>1007.828571</v>
      </c>
      <c r="F562" s="4">
        <f t="shared" si="3"/>
        <v>354.6063492</v>
      </c>
      <c r="G562" s="4">
        <f t="shared" si="4"/>
        <v>1008</v>
      </c>
      <c r="H562" s="4" t="str">
        <f t="shared" si="5"/>
        <v>Binh thuong</v>
      </c>
    </row>
    <row r="563" ht="14.25" customHeight="1">
      <c r="A563" s="4" t="s">
        <v>579</v>
      </c>
      <c r="B563" s="4">
        <v>5866.0</v>
      </c>
      <c r="C563" s="4" t="s">
        <v>300</v>
      </c>
      <c r="D563" s="4" t="str">
        <f t="shared" si="1"/>
        <v>XGBoost</v>
      </c>
      <c r="E563" s="4">
        <f t="shared" si="2"/>
        <v>1005.6</v>
      </c>
      <c r="F563" s="4">
        <f t="shared" si="3"/>
        <v>353.8222222</v>
      </c>
      <c r="G563" s="4">
        <f t="shared" si="4"/>
        <v>1006</v>
      </c>
      <c r="H563" s="4" t="str">
        <f t="shared" si="5"/>
        <v>Binh thuong</v>
      </c>
    </row>
    <row r="564" ht="14.25" customHeight="1">
      <c r="A564" s="4" t="s">
        <v>580</v>
      </c>
      <c r="B564" s="4">
        <v>5814.0</v>
      </c>
      <c r="C564" s="4" t="s">
        <v>300</v>
      </c>
      <c r="D564" s="4" t="str">
        <f t="shared" si="1"/>
        <v>XGBoost</v>
      </c>
      <c r="E564" s="4">
        <f t="shared" si="2"/>
        <v>996.6857143</v>
      </c>
      <c r="F564" s="4">
        <f t="shared" si="3"/>
        <v>350.6857143</v>
      </c>
      <c r="G564" s="4">
        <f t="shared" si="4"/>
        <v>997</v>
      </c>
      <c r="H564" s="4" t="str">
        <f t="shared" si="5"/>
        <v>Binh thuong</v>
      </c>
    </row>
    <row r="565" ht="14.25" customHeight="1">
      <c r="A565" s="4" t="s">
        <v>581</v>
      </c>
      <c r="B565" s="4">
        <v>5776.0</v>
      </c>
      <c r="C565" s="4" t="s">
        <v>300</v>
      </c>
      <c r="D565" s="4" t="str">
        <f t="shared" si="1"/>
        <v>XGBoost</v>
      </c>
      <c r="E565" s="4">
        <f t="shared" si="2"/>
        <v>990.1714286</v>
      </c>
      <c r="F565" s="4">
        <f t="shared" si="3"/>
        <v>348.3936508</v>
      </c>
      <c r="G565" s="4">
        <f t="shared" si="4"/>
        <v>990</v>
      </c>
      <c r="H565" s="4" t="str">
        <f t="shared" si="5"/>
        <v>Binh thuong</v>
      </c>
    </row>
    <row r="566" ht="14.25" customHeight="1">
      <c r="A566" s="4" t="s">
        <v>582</v>
      </c>
      <c r="B566" s="4">
        <v>5738.0</v>
      </c>
      <c r="C566" s="4" t="s">
        <v>300</v>
      </c>
      <c r="D566" s="4" t="str">
        <f t="shared" si="1"/>
        <v>XGBoost</v>
      </c>
      <c r="E566" s="4">
        <f t="shared" si="2"/>
        <v>983.6571429</v>
      </c>
      <c r="F566" s="4">
        <f t="shared" si="3"/>
        <v>346.1015873</v>
      </c>
      <c r="G566" s="4">
        <f t="shared" si="4"/>
        <v>984</v>
      </c>
      <c r="H566" s="4" t="str">
        <f t="shared" si="5"/>
        <v>Binh thuong</v>
      </c>
    </row>
    <row r="567" ht="14.25" customHeight="1">
      <c r="A567" s="4" t="s">
        <v>583</v>
      </c>
      <c r="B567" s="4">
        <v>5685.0</v>
      </c>
      <c r="C567" s="4" t="s">
        <v>300</v>
      </c>
      <c r="D567" s="4" t="str">
        <f t="shared" si="1"/>
        <v>XGBoost</v>
      </c>
      <c r="E567" s="4">
        <f t="shared" si="2"/>
        <v>974.5714286</v>
      </c>
      <c r="F567" s="4">
        <f t="shared" si="3"/>
        <v>342.9047619</v>
      </c>
      <c r="G567" s="4">
        <f t="shared" si="4"/>
        <v>975</v>
      </c>
      <c r="H567" s="4" t="str">
        <f t="shared" si="5"/>
        <v>Binh thuong</v>
      </c>
    </row>
    <row r="568" ht="14.25" customHeight="1">
      <c r="A568" s="4" t="s">
        <v>584</v>
      </c>
      <c r="B568" s="4">
        <v>5677.0</v>
      </c>
      <c r="C568" s="4" t="s">
        <v>300</v>
      </c>
      <c r="D568" s="4" t="str">
        <f t="shared" si="1"/>
        <v>XGBoost</v>
      </c>
      <c r="E568" s="4">
        <f t="shared" si="2"/>
        <v>973.2</v>
      </c>
      <c r="F568" s="4">
        <f t="shared" si="3"/>
        <v>342.4222222</v>
      </c>
      <c r="G568" s="4">
        <f t="shared" si="4"/>
        <v>973</v>
      </c>
      <c r="H568" s="4" t="str">
        <f t="shared" si="5"/>
        <v>Binh thuong</v>
      </c>
    </row>
    <row r="569" ht="14.25" customHeight="1">
      <c r="A569" s="4" t="s">
        <v>585</v>
      </c>
      <c r="B569" s="4">
        <v>5616.0</v>
      </c>
      <c r="C569" s="4" t="s">
        <v>300</v>
      </c>
      <c r="D569" s="4" t="str">
        <f t="shared" si="1"/>
        <v>XGBoost</v>
      </c>
      <c r="E569" s="4">
        <f t="shared" si="2"/>
        <v>962.7428571</v>
      </c>
      <c r="F569" s="4">
        <f t="shared" si="3"/>
        <v>338.7428571</v>
      </c>
      <c r="G569" s="4">
        <f t="shared" si="4"/>
        <v>963</v>
      </c>
      <c r="H569" s="4" t="str">
        <f t="shared" si="5"/>
        <v>Binh thuong</v>
      </c>
    </row>
    <row r="570" ht="14.25" customHeight="1">
      <c r="A570" s="4" t="s">
        <v>586</v>
      </c>
      <c r="B570" s="4">
        <v>5533.0</v>
      </c>
      <c r="C570" s="4" t="s">
        <v>300</v>
      </c>
      <c r="D570" s="4" t="str">
        <f t="shared" si="1"/>
        <v>XGBoost</v>
      </c>
      <c r="E570" s="4">
        <f t="shared" si="2"/>
        <v>948.5142857</v>
      </c>
      <c r="F570" s="4">
        <f t="shared" si="3"/>
        <v>333.7365079</v>
      </c>
      <c r="G570" s="4">
        <f t="shared" si="4"/>
        <v>949</v>
      </c>
      <c r="H570" s="4" t="str">
        <f t="shared" si="5"/>
        <v>Binh thuong</v>
      </c>
    </row>
    <row r="571" ht="14.25" customHeight="1">
      <c r="A571" s="4" t="s">
        <v>587</v>
      </c>
      <c r="B571" s="4">
        <v>5524.0</v>
      </c>
      <c r="C571" s="4" t="s">
        <v>300</v>
      </c>
      <c r="D571" s="4" t="str">
        <f t="shared" si="1"/>
        <v>XGBoost</v>
      </c>
      <c r="E571" s="4">
        <f t="shared" si="2"/>
        <v>946.9714286</v>
      </c>
      <c r="F571" s="4">
        <f t="shared" si="3"/>
        <v>333.1936508</v>
      </c>
      <c r="G571" s="4">
        <f t="shared" si="4"/>
        <v>947</v>
      </c>
      <c r="H571" s="4" t="str">
        <f t="shared" si="5"/>
        <v>Binh thuong</v>
      </c>
    </row>
    <row r="572" ht="14.25" customHeight="1">
      <c r="A572" s="4" t="s">
        <v>588</v>
      </c>
      <c r="B572" s="4">
        <v>5464.0</v>
      </c>
      <c r="C572" s="4" t="s">
        <v>300</v>
      </c>
      <c r="D572" s="4" t="str">
        <f t="shared" si="1"/>
        <v>XGBoost</v>
      </c>
      <c r="E572" s="4">
        <f t="shared" si="2"/>
        <v>936.6857143</v>
      </c>
      <c r="F572" s="4">
        <f t="shared" si="3"/>
        <v>329.5746032</v>
      </c>
      <c r="G572" s="4">
        <f t="shared" si="4"/>
        <v>937</v>
      </c>
      <c r="H572" s="4" t="str">
        <f t="shared" si="5"/>
        <v>Binh thuong</v>
      </c>
    </row>
    <row r="573" ht="14.25" customHeight="1">
      <c r="A573" s="4" t="s">
        <v>589</v>
      </c>
      <c r="B573" s="4">
        <v>5423.0</v>
      </c>
      <c r="C573" s="4" t="s">
        <v>300</v>
      </c>
      <c r="D573" s="4" t="str">
        <f t="shared" si="1"/>
        <v>XGBoost</v>
      </c>
      <c r="E573" s="4">
        <f t="shared" si="2"/>
        <v>929.6571429</v>
      </c>
      <c r="F573" s="4">
        <f t="shared" si="3"/>
        <v>327.1015873</v>
      </c>
      <c r="G573" s="4">
        <f t="shared" si="4"/>
        <v>930</v>
      </c>
      <c r="H573" s="4" t="str">
        <f t="shared" si="5"/>
        <v>Binh thuong</v>
      </c>
    </row>
    <row r="574" ht="14.25" customHeight="1">
      <c r="A574" s="4" t="s">
        <v>590</v>
      </c>
      <c r="B574" s="4">
        <v>5408.0</v>
      </c>
      <c r="C574" s="4" t="s">
        <v>300</v>
      </c>
      <c r="D574" s="4" t="str">
        <f t="shared" si="1"/>
        <v>XGBoost</v>
      </c>
      <c r="E574" s="4">
        <f t="shared" si="2"/>
        <v>927.0857143</v>
      </c>
      <c r="F574" s="4">
        <f t="shared" si="3"/>
        <v>326.1968254</v>
      </c>
      <c r="G574" s="4">
        <f t="shared" si="4"/>
        <v>927</v>
      </c>
      <c r="H574" s="4" t="str">
        <f t="shared" si="5"/>
        <v>Binh thuong</v>
      </c>
    </row>
    <row r="575" ht="14.25" customHeight="1">
      <c r="A575" s="4" t="s">
        <v>591</v>
      </c>
      <c r="B575" s="4">
        <v>5402.0</v>
      </c>
      <c r="C575" s="4" t="s">
        <v>300</v>
      </c>
      <c r="D575" s="4" t="str">
        <f t="shared" si="1"/>
        <v>XGBoost</v>
      </c>
      <c r="E575" s="4">
        <f t="shared" si="2"/>
        <v>926.0571429</v>
      </c>
      <c r="F575" s="4">
        <f t="shared" si="3"/>
        <v>325.8349206</v>
      </c>
      <c r="G575" s="4">
        <f t="shared" si="4"/>
        <v>926</v>
      </c>
      <c r="H575" s="4" t="str">
        <f t="shared" si="5"/>
        <v>Binh thuong</v>
      </c>
    </row>
    <row r="576" ht="14.25" customHeight="1">
      <c r="A576" s="4" t="s">
        <v>592</v>
      </c>
      <c r="B576" s="4">
        <v>5364.0</v>
      </c>
      <c r="C576" s="4" t="s">
        <v>300</v>
      </c>
      <c r="D576" s="4" t="str">
        <f t="shared" si="1"/>
        <v>XGBoost</v>
      </c>
      <c r="E576" s="4">
        <f t="shared" si="2"/>
        <v>919.5428571</v>
      </c>
      <c r="F576" s="4">
        <f t="shared" si="3"/>
        <v>323.5428571</v>
      </c>
      <c r="G576" s="4">
        <f t="shared" si="4"/>
        <v>920</v>
      </c>
      <c r="H576" s="4" t="str">
        <f t="shared" si="5"/>
        <v>Binh thuong</v>
      </c>
    </row>
    <row r="577" ht="14.25" customHeight="1">
      <c r="A577" s="4" t="s">
        <v>593</v>
      </c>
      <c r="B577" s="4">
        <v>5358.0</v>
      </c>
      <c r="C577" s="4" t="s">
        <v>300</v>
      </c>
      <c r="D577" s="4" t="str">
        <f t="shared" si="1"/>
        <v>XGBoost</v>
      </c>
      <c r="E577" s="4">
        <f t="shared" si="2"/>
        <v>918.5142857</v>
      </c>
      <c r="F577" s="4">
        <f t="shared" si="3"/>
        <v>323.1809524</v>
      </c>
      <c r="G577" s="4">
        <f t="shared" si="4"/>
        <v>919</v>
      </c>
      <c r="H577" s="4" t="str">
        <f t="shared" si="5"/>
        <v>Binh thuong</v>
      </c>
    </row>
    <row r="578" ht="14.25" customHeight="1">
      <c r="A578" s="4" t="s">
        <v>594</v>
      </c>
      <c r="B578" s="4">
        <v>5358.0</v>
      </c>
      <c r="C578" s="4" t="s">
        <v>300</v>
      </c>
      <c r="D578" s="4" t="str">
        <f t="shared" si="1"/>
        <v>XGBoost</v>
      </c>
      <c r="E578" s="4">
        <f t="shared" si="2"/>
        <v>918.5142857</v>
      </c>
      <c r="F578" s="4">
        <f t="shared" si="3"/>
        <v>323.1809524</v>
      </c>
      <c r="G578" s="4">
        <f t="shared" si="4"/>
        <v>919</v>
      </c>
      <c r="H578" s="4" t="str">
        <f t="shared" si="5"/>
        <v>Binh thuong</v>
      </c>
    </row>
    <row r="579" ht="14.25" customHeight="1">
      <c r="A579" s="4" t="s">
        <v>595</v>
      </c>
      <c r="B579" s="4">
        <v>5356.0</v>
      </c>
      <c r="C579" s="4" t="s">
        <v>300</v>
      </c>
      <c r="D579" s="4" t="str">
        <f t="shared" si="1"/>
        <v>XGBoost</v>
      </c>
      <c r="E579" s="4">
        <f t="shared" si="2"/>
        <v>918.1714286</v>
      </c>
      <c r="F579" s="4">
        <f t="shared" si="3"/>
        <v>323.0603175</v>
      </c>
      <c r="G579" s="4">
        <f t="shared" si="4"/>
        <v>918</v>
      </c>
      <c r="H579" s="4" t="str">
        <f t="shared" si="5"/>
        <v>Binh thuong</v>
      </c>
    </row>
    <row r="580" ht="14.25" customHeight="1">
      <c r="A580" s="4" t="s">
        <v>596</v>
      </c>
      <c r="B580" s="4">
        <v>5354.0</v>
      </c>
      <c r="C580" s="4" t="s">
        <v>300</v>
      </c>
      <c r="D580" s="4" t="str">
        <f t="shared" si="1"/>
        <v>XGBoost</v>
      </c>
      <c r="E580" s="4">
        <f t="shared" si="2"/>
        <v>917.8285714</v>
      </c>
      <c r="F580" s="4">
        <f t="shared" si="3"/>
        <v>322.9396825</v>
      </c>
      <c r="G580" s="4">
        <f t="shared" si="4"/>
        <v>918</v>
      </c>
      <c r="H580" s="4" t="str">
        <f t="shared" si="5"/>
        <v>Binh thuong</v>
      </c>
    </row>
    <row r="581" ht="14.25" customHeight="1">
      <c r="A581" s="4" t="s">
        <v>597</v>
      </c>
      <c r="B581" s="4">
        <v>5240.0</v>
      </c>
      <c r="C581" s="4" t="s">
        <v>300</v>
      </c>
      <c r="D581" s="4" t="str">
        <f t="shared" si="1"/>
        <v>XGBoost</v>
      </c>
      <c r="E581" s="4">
        <f t="shared" si="2"/>
        <v>898.2857143</v>
      </c>
      <c r="F581" s="4">
        <f t="shared" si="3"/>
        <v>316.0634921</v>
      </c>
      <c r="G581" s="4">
        <f t="shared" si="4"/>
        <v>898</v>
      </c>
      <c r="H581" s="4" t="str">
        <f t="shared" si="5"/>
        <v>Binh thuong</v>
      </c>
    </row>
    <row r="582" ht="14.25" customHeight="1">
      <c r="A582" s="4" t="s">
        <v>598</v>
      </c>
      <c r="B582" s="4">
        <v>5135.0</v>
      </c>
      <c r="C582" s="4" t="s">
        <v>300</v>
      </c>
      <c r="D582" s="4" t="str">
        <f t="shared" si="1"/>
        <v>XGBoost</v>
      </c>
      <c r="E582" s="4">
        <f t="shared" si="2"/>
        <v>880.2857143</v>
      </c>
      <c r="F582" s="4">
        <f t="shared" si="3"/>
        <v>309.7301587</v>
      </c>
      <c r="G582" s="4">
        <f t="shared" si="4"/>
        <v>880</v>
      </c>
      <c r="H582" s="4" t="str">
        <f t="shared" si="5"/>
        <v>Binh thuong</v>
      </c>
    </row>
    <row r="583" ht="14.25" customHeight="1">
      <c r="A583" s="4" t="s">
        <v>599</v>
      </c>
      <c r="B583" s="4">
        <v>5100.0</v>
      </c>
      <c r="C583" s="4" t="s">
        <v>300</v>
      </c>
      <c r="D583" s="4" t="str">
        <f t="shared" si="1"/>
        <v>XGBoost</v>
      </c>
      <c r="E583" s="4">
        <f t="shared" si="2"/>
        <v>874.2857143</v>
      </c>
      <c r="F583" s="4">
        <f t="shared" si="3"/>
        <v>307.6190476</v>
      </c>
      <c r="G583" s="4">
        <f t="shared" si="4"/>
        <v>874</v>
      </c>
      <c r="H583" s="4" t="str">
        <f t="shared" si="5"/>
        <v>Binh thuong</v>
      </c>
    </row>
    <row r="584" ht="14.25" customHeight="1">
      <c r="A584" s="4" t="s">
        <v>600</v>
      </c>
      <c r="B584" s="4">
        <v>4971.0</v>
      </c>
      <c r="C584" s="4" t="s">
        <v>300</v>
      </c>
      <c r="D584" s="4" t="str">
        <f t="shared" si="1"/>
        <v>XGBoost</v>
      </c>
      <c r="E584" s="4">
        <f t="shared" si="2"/>
        <v>852.1714286</v>
      </c>
      <c r="F584" s="4">
        <f t="shared" si="3"/>
        <v>299.8380952</v>
      </c>
      <c r="G584" s="4">
        <f t="shared" si="4"/>
        <v>852</v>
      </c>
      <c r="H584" s="4" t="str">
        <f t="shared" si="5"/>
        <v>Binh thuong</v>
      </c>
    </row>
    <row r="585" ht="14.25" customHeight="1">
      <c r="A585" s="4" t="s">
        <v>601</v>
      </c>
      <c r="B585" s="4">
        <v>4963.0</v>
      </c>
      <c r="C585" s="4" t="s">
        <v>300</v>
      </c>
      <c r="D585" s="4" t="str">
        <f t="shared" si="1"/>
        <v>XGBoost</v>
      </c>
      <c r="E585" s="4">
        <f t="shared" si="2"/>
        <v>850.8</v>
      </c>
      <c r="F585" s="4">
        <f t="shared" si="3"/>
        <v>299.3555556</v>
      </c>
      <c r="G585" s="4">
        <f t="shared" si="4"/>
        <v>851</v>
      </c>
      <c r="H585" s="4" t="str">
        <f t="shared" si="5"/>
        <v>Binh thuong</v>
      </c>
    </row>
    <row r="586" ht="14.25" customHeight="1">
      <c r="A586" s="4" t="s">
        <v>602</v>
      </c>
      <c r="B586" s="4">
        <v>4960.0</v>
      </c>
      <c r="C586" s="4" t="s">
        <v>300</v>
      </c>
      <c r="D586" s="4" t="str">
        <f t="shared" si="1"/>
        <v>XGBoost</v>
      </c>
      <c r="E586" s="4">
        <f t="shared" si="2"/>
        <v>850.2857143</v>
      </c>
      <c r="F586" s="4">
        <f t="shared" si="3"/>
        <v>299.1746032</v>
      </c>
      <c r="G586" s="4">
        <f t="shared" si="4"/>
        <v>850</v>
      </c>
      <c r="H586" s="4" t="str">
        <f t="shared" si="5"/>
        <v>Binh thuong</v>
      </c>
    </row>
    <row r="587" ht="14.25" customHeight="1">
      <c r="A587" s="4" t="s">
        <v>603</v>
      </c>
      <c r="B587" s="4">
        <v>4950.0</v>
      </c>
      <c r="C587" s="4" t="s">
        <v>300</v>
      </c>
      <c r="D587" s="4" t="str">
        <f t="shared" si="1"/>
        <v>XGBoost</v>
      </c>
      <c r="E587" s="4">
        <f t="shared" si="2"/>
        <v>848.5714286</v>
      </c>
      <c r="F587" s="4">
        <f t="shared" si="3"/>
        <v>298.5714286</v>
      </c>
      <c r="G587" s="4">
        <f t="shared" si="4"/>
        <v>849</v>
      </c>
      <c r="H587" s="4" t="str">
        <f t="shared" si="5"/>
        <v>Binh thuong</v>
      </c>
    </row>
    <row r="588" ht="14.25" customHeight="1">
      <c r="A588" s="4" t="s">
        <v>604</v>
      </c>
      <c r="B588" s="4">
        <v>4927.0</v>
      </c>
      <c r="C588" s="4" t="s">
        <v>300</v>
      </c>
      <c r="D588" s="4" t="str">
        <f t="shared" si="1"/>
        <v>XGBoost</v>
      </c>
      <c r="E588" s="4">
        <f t="shared" si="2"/>
        <v>844.6285714</v>
      </c>
      <c r="F588" s="4">
        <f t="shared" si="3"/>
        <v>297.184127</v>
      </c>
      <c r="G588" s="4">
        <f t="shared" si="4"/>
        <v>845</v>
      </c>
      <c r="H588" s="4" t="str">
        <f t="shared" si="5"/>
        <v>Binh thuong</v>
      </c>
    </row>
    <row r="589" ht="14.25" customHeight="1">
      <c r="A589" s="4" t="s">
        <v>605</v>
      </c>
      <c r="B589" s="4">
        <v>4811.0</v>
      </c>
      <c r="C589" s="4" t="s">
        <v>300</v>
      </c>
      <c r="D589" s="4" t="str">
        <f t="shared" si="1"/>
        <v>XGBoost</v>
      </c>
      <c r="E589" s="4">
        <f t="shared" si="2"/>
        <v>824.7428571</v>
      </c>
      <c r="F589" s="4">
        <f t="shared" si="3"/>
        <v>290.1873016</v>
      </c>
      <c r="G589" s="4">
        <f t="shared" si="4"/>
        <v>825</v>
      </c>
      <c r="H589" s="4" t="str">
        <f t="shared" si="5"/>
        <v>Binh thuong</v>
      </c>
    </row>
    <row r="590" ht="14.25" customHeight="1">
      <c r="A590" s="4" t="s">
        <v>606</v>
      </c>
      <c r="B590" s="4">
        <v>4774.0</v>
      </c>
      <c r="C590" s="4" t="s">
        <v>300</v>
      </c>
      <c r="D590" s="4" t="str">
        <f t="shared" si="1"/>
        <v>XGBoost</v>
      </c>
      <c r="E590" s="4">
        <f t="shared" si="2"/>
        <v>818.4</v>
      </c>
      <c r="F590" s="4">
        <f t="shared" si="3"/>
        <v>287.9555556</v>
      </c>
      <c r="G590" s="4">
        <f t="shared" si="4"/>
        <v>818</v>
      </c>
      <c r="H590" s="4" t="str">
        <f t="shared" si="5"/>
        <v>Binh thuong</v>
      </c>
    </row>
    <row r="591" ht="14.25" customHeight="1">
      <c r="A591" s="4" t="s">
        <v>607</v>
      </c>
      <c r="B591" s="4">
        <v>4765.0</v>
      </c>
      <c r="C591" s="4" t="s">
        <v>300</v>
      </c>
      <c r="D591" s="4" t="str">
        <f t="shared" si="1"/>
        <v>XGBoost</v>
      </c>
      <c r="E591" s="4">
        <f t="shared" si="2"/>
        <v>816.8571429</v>
      </c>
      <c r="F591" s="4">
        <f t="shared" si="3"/>
        <v>287.4126984</v>
      </c>
      <c r="G591" s="4">
        <f t="shared" si="4"/>
        <v>817</v>
      </c>
      <c r="H591" s="4" t="str">
        <f t="shared" si="5"/>
        <v>Binh thuong</v>
      </c>
    </row>
    <row r="592" ht="14.25" customHeight="1">
      <c r="A592" s="4" t="s">
        <v>608</v>
      </c>
      <c r="B592" s="4">
        <v>4760.0</v>
      </c>
      <c r="C592" s="4" t="s">
        <v>300</v>
      </c>
      <c r="D592" s="4" t="str">
        <f t="shared" si="1"/>
        <v>XGBoost</v>
      </c>
      <c r="E592" s="4">
        <f t="shared" si="2"/>
        <v>816</v>
      </c>
      <c r="F592" s="4">
        <f t="shared" si="3"/>
        <v>287.1111111</v>
      </c>
      <c r="G592" s="4">
        <f t="shared" si="4"/>
        <v>816</v>
      </c>
      <c r="H592" s="4" t="str">
        <f t="shared" si="5"/>
        <v>Binh thuong</v>
      </c>
    </row>
    <row r="593" ht="14.25" customHeight="1">
      <c r="A593" s="4" t="s">
        <v>609</v>
      </c>
      <c r="B593" s="4">
        <v>4675.0</v>
      </c>
      <c r="C593" s="4" t="s">
        <v>300</v>
      </c>
      <c r="D593" s="4" t="str">
        <f t="shared" si="1"/>
        <v>XGBoost</v>
      </c>
      <c r="E593" s="4">
        <f t="shared" si="2"/>
        <v>801.4285714</v>
      </c>
      <c r="F593" s="4">
        <f t="shared" si="3"/>
        <v>281.984127</v>
      </c>
      <c r="G593" s="4">
        <f t="shared" si="4"/>
        <v>801</v>
      </c>
      <c r="H593" s="4" t="str">
        <f t="shared" si="5"/>
        <v>Binh thuong</v>
      </c>
    </row>
    <row r="594" ht="14.25" customHeight="1">
      <c r="A594" s="4" t="s">
        <v>610</v>
      </c>
      <c r="B594" s="4">
        <v>4553.0</v>
      </c>
      <c r="C594" s="4" t="s">
        <v>300</v>
      </c>
      <c r="D594" s="4" t="str">
        <f t="shared" si="1"/>
        <v>XGBoost</v>
      </c>
      <c r="E594" s="4">
        <f t="shared" si="2"/>
        <v>780.5142857</v>
      </c>
      <c r="F594" s="4">
        <f t="shared" si="3"/>
        <v>274.6253968</v>
      </c>
      <c r="G594" s="4">
        <f t="shared" si="4"/>
        <v>781</v>
      </c>
      <c r="H594" s="4" t="str">
        <f t="shared" si="5"/>
        <v>Binh thuong</v>
      </c>
    </row>
    <row r="595" ht="14.25" customHeight="1">
      <c r="A595" s="4" t="s">
        <v>611</v>
      </c>
      <c r="B595" s="4">
        <v>4534.0</v>
      </c>
      <c r="C595" s="4" t="s">
        <v>300</v>
      </c>
      <c r="D595" s="4" t="str">
        <f t="shared" si="1"/>
        <v>XGBoost</v>
      </c>
      <c r="E595" s="4">
        <f t="shared" si="2"/>
        <v>777.2571429</v>
      </c>
      <c r="F595" s="4">
        <f t="shared" si="3"/>
        <v>273.4793651</v>
      </c>
      <c r="G595" s="4">
        <f t="shared" si="4"/>
        <v>777</v>
      </c>
      <c r="H595" s="4" t="str">
        <f t="shared" si="5"/>
        <v>Binh thuong</v>
      </c>
    </row>
    <row r="596" ht="14.25" customHeight="1">
      <c r="A596" s="4" t="s">
        <v>612</v>
      </c>
      <c r="B596" s="4">
        <v>4502.0</v>
      </c>
      <c r="C596" s="4" t="s">
        <v>300</v>
      </c>
      <c r="D596" s="4" t="str">
        <f t="shared" si="1"/>
        <v>XGBoost</v>
      </c>
      <c r="E596" s="4">
        <f t="shared" si="2"/>
        <v>771.7714286</v>
      </c>
      <c r="F596" s="4">
        <f t="shared" si="3"/>
        <v>271.5492063</v>
      </c>
      <c r="G596" s="4">
        <f t="shared" si="4"/>
        <v>772</v>
      </c>
      <c r="H596" s="4" t="str">
        <f t="shared" si="5"/>
        <v>Binh thuong</v>
      </c>
    </row>
    <row r="597" ht="14.25" customHeight="1">
      <c r="A597" s="4" t="s">
        <v>613</v>
      </c>
      <c r="B597" s="4">
        <v>4486.0</v>
      </c>
      <c r="C597" s="4" t="s">
        <v>300</v>
      </c>
      <c r="D597" s="4" t="str">
        <f t="shared" si="1"/>
        <v>XGBoost</v>
      </c>
      <c r="E597" s="4">
        <f t="shared" si="2"/>
        <v>769.0285714</v>
      </c>
      <c r="F597" s="4">
        <f t="shared" si="3"/>
        <v>270.584127</v>
      </c>
      <c r="G597" s="4">
        <f t="shared" si="4"/>
        <v>769</v>
      </c>
      <c r="H597" s="4" t="str">
        <f t="shared" si="5"/>
        <v>Binh thuong</v>
      </c>
    </row>
    <row r="598" ht="14.25" customHeight="1">
      <c r="A598" s="4" t="s">
        <v>614</v>
      </c>
      <c r="B598" s="4">
        <v>4431.0</v>
      </c>
      <c r="C598" s="4" t="s">
        <v>300</v>
      </c>
      <c r="D598" s="4" t="str">
        <f t="shared" si="1"/>
        <v>XGBoost</v>
      </c>
      <c r="E598" s="4">
        <f t="shared" si="2"/>
        <v>759.6</v>
      </c>
      <c r="F598" s="4">
        <f t="shared" si="3"/>
        <v>267.2666667</v>
      </c>
      <c r="G598" s="4">
        <f t="shared" si="4"/>
        <v>760</v>
      </c>
      <c r="H598" s="4" t="str">
        <f t="shared" si="5"/>
        <v>Binh thuong</v>
      </c>
    </row>
    <row r="599" ht="14.25" customHeight="1">
      <c r="A599" s="4" t="s">
        <v>615</v>
      </c>
      <c r="B599" s="4">
        <v>4422.0</v>
      </c>
      <c r="C599" s="4" t="s">
        <v>300</v>
      </c>
      <c r="D599" s="4" t="str">
        <f t="shared" si="1"/>
        <v>XGBoost</v>
      </c>
      <c r="E599" s="4">
        <f t="shared" si="2"/>
        <v>758.0571429</v>
      </c>
      <c r="F599" s="4">
        <f t="shared" si="3"/>
        <v>266.7238095</v>
      </c>
      <c r="G599" s="4">
        <f t="shared" si="4"/>
        <v>758</v>
      </c>
      <c r="H599" s="4" t="str">
        <f t="shared" si="5"/>
        <v>Binh thuong</v>
      </c>
    </row>
    <row r="600" ht="14.25" customHeight="1">
      <c r="A600" s="4" t="s">
        <v>616</v>
      </c>
      <c r="B600" s="4">
        <v>4366.0</v>
      </c>
      <c r="C600" s="4" t="s">
        <v>300</v>
      </c>
      <c r="D600" s="4" t="str">
        <f t="shared" si="1"/>
        <v>XGBoost</v>
      </c>
      <c r="E600" s="4">
        <f t="shared" si="2"/>
        <v>748.4571429</v>
      </c>
      <c r="F600" s="4">
        <f t="shared" si="3"/>
        <v>263.3460317</v>
      </c>
      <c r="G600" s="4">
        <f t="shared" si="4"/>
        <v>748</v>
      </c>
      <c r="H600" s="4" t="str">
        <f t="shared" si="5"/>
        <v>Binh thuong</v>
      </c>
    </row>
    <row r="601" ht="14.25" customHeight="1">
      <c r="A601" s="4" t="s">
        <v>617</v>
      </c>
      <c r="B601" s="4">
        <v>4317.0</v>
      </c>
      <c r="C601" s="4" t="s">
        <v>300</v>
      </c>
      <c r="D601" s="4" t="str">
        <f t="shared" si="1"/>
        <v>XGBoost</v>
      </c>
      <c r="E601" s="4">
        <f t="shared" si="2"/>
        <v>740.0571429</v>
      </c>
      <c r="F601" s="4">
        <f t="shared" si="3"/>
        <v>260.3904762</v>
      </c>
      <c r="G601" s="4">
        <f t="shared" si="4"/>
        <v>740</v>
      </c>
      <c r="H601" s="4" t="str">
        <f t="shared" si="5"/>
        <v>Binh thuong</v>
      </c>
    </row>
    <row r="602" ht="14.25" customHeight="1">
      <c r="A602" s="4" t="s">
        <v>618</v>
      </c>
      <c r="B602" s="4">
        <v>4303.0</v>
      </c>
      <c r="C602" s="4" t="s">
        <v>300</v>
      </c>
      <c r="D602" s="4" t="str">
        <f t="shared" si="1"/>
        <v>XGBoost</v>
      </c>
      <c r="E602" s="4">
        <f t="shared" si="2"/>
        <v>737.6571429</v>
      </c>
      <c r="F602" s="4">
        <f t="shared" si="3"/>
        <v>259.5460317</v>
      </c>
      <c r="G602" s="4">
        <f t="shared" si="4"/>
        <v>738</v>
      </c>
      <c r="H602" s="4" t="str">
        <f t="shared" si="5"/>
        <v>Binh thuong</v>
      </c>
    </row>
    <row r="603" ht="14.25" customHeight="1">
      <c r="A603" s="4" t="s">
        <v>619</v>
      </c>
      <c r="B603" s="4">
        <v>4279.0</v>
      </c>
      <c r="C603" s="4" t="s">
        <v>300</v>
      </c>
      <c r="D603" s="4" t="str">
        <f t="shared" si="1"/>
        <v>XGBoost</v>
      </c>
      <c r="E603" s="4">
        <f t="shared" si="2"/>
        <v>733.5428571</v>
      </c>
      <c r="F603" s="4">
        <f t="shared" si="3"/>
        <v>258.0984127</v>
      </c>
      <c r="G603" s="4">
        <f t="shared" si="4"/>
        <v>734</v>
      </c>
      <c r="H603" s="4" t="str">
        <f t="shared" si="5"/>
        <v>Binh thuong</v>
      </c>
    </row>
    <row r="604" ht="14.25" customHeight="1">
      <c r="A604" s="4" t="s">
        <v>620</v>
      </c>
      <c r="B604" s="4">
        <v>4238.0</v>
      </c>
      <c r="C604" s="4" t="s">
        <v>300</v>
      </c>
      <c r="D604" s="4" t="str">
        <f t="shared" si="1"/>
        <v>XGBoost</v>
      </c>
      <c r="E604" s="4">
        <f t="shared" si="2"/>
        <v>726.5142857</v>
      </c>
      <c r="F604" s="4">
        <f t="shared" si="3"/>
        <v>255.6253968</v>
      </c>
      <c r="G604" s="4">
        <f t="shared" si="4"/>
        <v>727</v>
      </c>
      <c r="H604" s="4" t="str">
        <f t="shared" si="5"/>
        <v>Binh thuong</v>
      </c>
    </row>
    <row r="605" ht="14.25" customHeight="1">
      <c r="A605" s="4" t="s">
        <v>621</v>
      </c>
      <c r="B605" s="4">
        <v>4223.0</v>
      </c>
      <c r="C605" s="4" t="s">
        <v>300</v>
      </c>
      <c r="D605" s="4" t="str">
        <f t="shared" si="1"/>
        <v>XGBoost</v>
      </c>
      <c r="E605" s="4">
        <f t="shared" si="2"/>
        <v>723.9428571</v>
      </c>
      <c r="F605" s="4">
        <f t="shared" si="3"/>
        <v>254.7206349</v>
      </c>
      <c r="G605" s="4">
        <f t="shared" si="4"/>
        <v>724</v>
      </c>
      <c r="H605" s="4" t="str">
        <f t="shared" si="5"/>
        <v>Binh thuong</v>
      </c>
    </row>
    <row r="606" ht="14.25" customHeight="1">
      <c r="A606" s="4" t="s">
        <v>622</v>
      </c>
      <c r="B606" s="4">
        <v>4179.0</v>
      </c>
      <c r="C606" s="4" t="s">
        <v>300</v>
      </c>
      <c r="D606" s="4" t="str">
        <f t="shared" si="1"/>
        <v>XGBoost</v>
      </c>
      <c r="E606" s="4">
        <f t="shared" si="2"/>
        <v>716.4</v>
      </c>
      <c r="F606" s="4">
        <f t="shared" si="3"/>
        <v>252.0666667</v>
      </c>
      <c r="G606" s="4">
        <f t="shared" si="4"/>
        <v>716</v>
      </c>
      <c r="H606" s="4" t="str">
        <f t="shared" si="5"/>
        <v>Binh thuong</v>
      </c>
    </row>
    <row r="607" ht="14.25" customHeight="1">
      <c r="A607" s="4" t="s">
        <v>623</v>
      </c>
      <c r="B607" s="4">
        <v>4172.0</v>
      </c>
      <c r="C607" s="4" t="s">
        <v>300</v>
      </c>
      <c r="D607" s="4" t="str">
        <f t="shared" si="1"/>
        <v>XGBoost</v>
      </c>
      <c r="E607" s="4">
        <f t="shared" si="2"/>
        <v>715.2</v>
      </c>
      <c r="F607" s="4">
        <f t="shared" si="3"/>
        <v>251.6444444</v>
      </c>
      <c r="G607" s="4">
        <f t="shared" si="4"/>
        <v>715</v>
      </c>
      <c r="H607" s="4" t="str">
        <f t="shared" si="5"/>
        <v>Binh thuong</v>
      </c>
    </row>
    <row r="608" ht="14.25" customHeight="1">
      <c r="A608" s="4" t="s">
        <v>624</v>
      </c>
      <c r="B608" s="4">
        <v>4142.0</v>
      </c>
      <c r="C608" s="4" t="s">
        <v>300</v>
      </c>
      <c r="D608" s="4" t="str">
        <f t="shared" si="1"/>
        <v>XGBoost</v>
      </c>
      <c r="E608" s="4">
        <f t="shared" si="2"/>
        <v>710.0571429</v>
      </c>
      <c r="F608" s="4">
        <f t="shared" si="3"/>
        <v>249.8349206</v>
      </c>
      <c r="G608" s="4">
        <f t="shared" si="4"/>
        <v>710</v>
      </c>
      <c r="H608" s="4" t="str">
        <f t="shared" si="5"/>
        <v>Binh thuong</v>
      </c>
    </row>
    <row r="609" ht="14.25" customHeight="1">
      <c r="A609" s="4" t="s">
        <v>625</v>
      </c>
      <c r="B609" s="4">
        <v>4135.0</v>
      </c>
      <c r="C609" s="4" t="s">
        <v>300</v>
      </c>
      <c r="D609" s="4" t="str">
        <f t="shared" si="1"/>
        <v>XGBoost</v>
      </c>
      <c r="E609" s="4">
        <f t="shared" si="2"/>
        <v>708.8571429</v>
      </c>
      <c r="F609" s="4">
        <f t="shared" si="3"/>
        <v>249.4126984</v>
      </c>
      <c r="G609" s="4">
        <f t="shared" si="4"/>
        <v>709</v>
      </c>
      <c r="H609" s="4" t="str">
        <f t="shared" si="5"/>
        <v>Binh thuong</v>
      </c>
    </row>
    <row r="610" ht="14.25" customHeight="1">
      <c r="A610" s="4" t="s">
        <v>626</v>
      </c>
      <c r="B610" s="4">
        <v>4125.0</v>
      </c>
      <c r="C610" s="4" t="s">
        <v>300</v>
      </c>
      <c r="D610" s="4" t="str">
        <f t="shared" si="1"/>
        <v>XGBoost</v>
      </c>
      <c r="E610" s="4">
        <f t="shared" si="2"/>
        <v>707.1428571</v>
      </c>
      <c r="F610" s="4">
        <f t="shared" si="3"/>
        <v>248.8095238</v>
      </c>
      <c r="G610" s="4">
        <f t="shared" si="4"/>
        <v>707</v>
      </c>
      <c r="H610" s="4" t="str">
        <f t="shared" si="5"/>
        <v>Binh thuong</v>
      </c>
    </row>
    <row r="611" ht="14.25" customHeight="1">
      <c r="A611" s="4" t="s">
        <v>627</v>
      </c>
      <c r="B611" s="4">
        <v>4119.0</v>
      </c>
      <c r="C611" s="4" t="s">
        <v>300</v>
      </c>
      <c r="D611" s="4" t="str">
        <f t="shared" si="1"/>
        <v>XGBoost</v>
      </c>
      <c r="E611" s="4">
        <f t="shared" si="2"/>
        <v>706.1142857</v>
      </c>
      <c r="F611" s="4">
        <f t="shared" si="3"/>
        <v>248.447619</v>
      </c>
      <c r="G611" s="4">
        <f t="shared" si="4"/>
        <v>706</v>
      </c>
      <c r="H611" s="4" t="str">
        <f t="shared" si="5"/>
        <v>Binh thuong</v>
      </c>
    </row>
    <row r="612" ht="14.25" customHeight="1">
      <c r="A612" s="4" t="s">
        <v>628</v>
      </c>
      <c r="B612" s="4">
        <v>4024.0</v>
      </c>
      <c r="C612" s="4" t="s">
        <v>300</v>
      </c>
      <c r="D612" s="4" t="str">
        <f t="shared" si="1"/>
        <v>XGBoost</v>
      </c>
      <c r="E612" s="4">
        <f t="shared" si="2"/>
        <v>689.8285714</v>
      </c>
      <c r="F612" s="4">
        <f t="shared" si="3"/>
        <v>242.7174603</v>
      </c>
      <c r="G612" s="4">
        <f t="shared" si="4"/>
        <v>690</v>
      </c>
      <c r="H612" s="4" t="str">
        <f t="shared" si="5"/>
        <v>Binh thuong</v>
      </c>
    </row>
    <row r="613" ht="14.25" customHeight="1">
      <c r="A613" s="4" t="s">
        <v>629</v>
      </c>
      <c r="B613" s="4">
        <v>3994.0</v>
      </c>
      <c r="C613" s="4" t="s">
        <v>300</v>
      </c>
      <c r="D613" s="4" t="str">
        <f t="shared" si="1"/>
        <v>XGBoost</v>
      </c>
      <c r="E613" s="4">
        <f t="shared" si="2"/>
        <v>684.6857143</v>
      </c>
      <c r="F613" s="4">
        <f t="shared" si="3"/>
        <v>240.9079365</v>
      </c>
      <c r="G613" s="4">
        <f t="shared" si="4"/>
        <v>685</v>
      </c>
      <c r="H613" s="4" t="str">
        <f t="shared" si="5"/>
        <v>Binh thuong</v>
      </c>
    </row>
    <row r="614" ht="14.25" customHeight="1">
      <c r="A614" s="4" t="s">
        <v>630</v>
      </c>
      <c r="B614" s="4">
        <v>3873.0</v>
      </c>
      <c r="C614" s="4" t="s">
        <v>300</v>
      </c>
      <c r="D614" s="4" t="str">
        <f t="shared" si="1"/>
        <v>XGBoost</v>
      </c>
      <c r="E614" s="4">
        <f t="shared" si="2"/>
        <v>663.9428571</v>
      </c>
      <c r="F614" s="4">
        <f t="shared" si="3"/>
        <v>233.6095238</v>
      </c>
      <c r="G614" s="4">
        <f t="shared" si="4"/>
        <v>664</v>
      </c>
      <c r="H614" s="4" t="str">
        <f t="shared" si="5"/>
        <v>Binh thuong</v>
      </c>
    </row>
    <row r="615" ht="14.25" customHeight="1">
      <c r="A615" s="4" t="s">
        <v>631</v>
      </c>
      <c r="B615" s="4">
        <v>3872.0</v>
      </c>
      <c r="C615" s="4" t="s">
        <v>300</v>
      </c>
      <c r="D615" s="4" t="str">
        <f t="shared" si="1"/>
        <v>XGBoost</v>
      </c>
      <c r="E615" s="4">
        <f t="shared" si="2"/>
        <v>663.7714286</v>
      </c>
      <c r="F615" s="4">
        <f t="shared" si="3"/>
        <v>233.5492063</v>
      </c>
      <c r="G615" s="4">
        <f t="shared" si="4"/>
        <v>664</v>
      </c>
      <c r="H615" s="4" t="str">
        <f t="shared" si="5"/>
        <v>Binh thuong</v>
      </c>
    </row>
    <row r="616" ht="14.25" customHeight="1">
      <c r="A616" s="4" t="s">
        <v>632</v>
      </c>
      <c r="B616" s="4">
        <v>3799.0</v>
      </c>
      <c r="C616" s="4" t="s">
        <v>300</v>
      </c>
      <c r="D616" s="4" t="str">
        <f t="shared" si="1"/>
        <v>XGBoost</v>
      </c>
      <c r="E616" s="4">
        <f t="shared" si="2"/>
        <v>651.2571429</v>
      </c>
      <c r="F616" s="4">
        <f t="shared" si="3"/>
        <v>229.1460317</v>
      </c>
      <c r="G616" s="4">
        <f t="shared" si="4"/>
        <v>651</v>
      </c>
      <c r="H616" s="4" t="str">
        <f t="shared" si="5"/>
        <v>Binh thuong</v>
      </c>
    </row>
    <row r="617" ht="14.25" customHeight="1">
      <c r="A617" s="4" t="s">
        <v>633</v>
      </c>
      <c r="B617" s="4">
        <v>3794.0</v>
      </c>
      <c r="C617" s="4" t="s">
        <v>300</v>
      </c>
      <c r="D617" s="4" t="str">
        <f t="shared" si="1"/>
        <v>XGBoost</v>
      </c>
      <c r="E617" s="4">
        <f t="shared" si="2"/>
        <v>650.4</v>
      </c>
      <c r="F617" s="4">
        <f t="shared" si="3"/>
        <v>228.8444444</v>
      </c>
      <c r="G617" s="4">
        <f t="shared" si="4"/>
        <v>650</v>
      </c>
      <c r="H617" s="4" t="str">
        <f t="shared" si="5"/>
        <v>Binh thuong</v>
      </c>
    </row>
    <row r="618" ht="14.25" customHeight="1">
      <c r="A618" s="4" t="s">
        <v>634</v>
      </c>
      <c r="B618" s="4">
        <v>3785.0</v>
      </c>
      <c r="C618" s="4" t="s">
        <v>300</v>
      </c>
      <c r="D618" s="4" t="str">
        <f t="shared" si="1"/>
        <v>XGBoost</v>
      </c>
      <c r="E618" s="4">
        <f t="shared" si="2"/>
        <v>648.8571429</v>
      </c>
      <c r="F618" s="4">
        <f t="shared" si="3"/>
        <v>228.3015873</v>
      </c>
      <c r="G618" s="4">
        <f t="shared" si="4"/>
        <v>649</v>
      </c>
      <c r="H618" s="4" t="str">
        <f t="shared" si="5"/>
        <v>Binh thuong</v>
      </c>
    </row>
    <row r="619" ht="14.25" customHeight="1">
      <c r="A619" s="4" t="s">
        <v>635</v>
      </c>
      <c r="B619" s="4">
        <v>3773.0</v>
      </c>
      <c r="C619" s="4" t="s">
        <v>300</v>
      </c>
      <c r="D619" s="4" t="str">
        <f t="shared" si="1"/>
        <v>XGBoost</v>
      </c>
      <c r="E619" s="4">
        <f t="shared" si="2"/>
        <v>646.8</v>
      </c>
      <c r="F619" s="4">
        <f t="shared" si="3"/>
        <v>227.5777778</v>
      </c>
      <c r="G619" s="4">
        <f t="shared" si="4"/>
        <v>647</v>
      </c>
      <c r="H619" s="4" t="str">
        <f t="shared" si="5"/>
        <v>Binh thuong</v>
      </c>
    </row>
    <row r="620" ht="14.25" customHeight="1">
      <c r="A620" s="4" t="s">
        <v>636</v>
      </c>
      <c r="B620" s="4">
        <v>3754.0</v>
      </c>
      <c r="C620" s="4" t="s">
        <v>300</v>
      </c>
      <c r="D620" s="4" t="str">
        <f t="shared" si="1"/>
        <v>XGBoost</v>
      </c>
      <c r="E620" s="4">
        <f t="shared" si="2"/>
        <v>643.5428571</v>
      </c>
      <c r="F620" s="4">
        <f t="shared" si="3"/>
        <v>226.431746</v>
      </c>
      <c r="G620" s="4">
        <f t="shared" si="4"/>
        <v>644</v>
      </c>
      <c r="H620" s="4" t="str">
        <f t="shared" si="5"/>
        <v>Binh thuong</v>
      </c>
    </row>
    <row r="621" ht="14.25" customHeight="1">
      <c r="A621" s="4" t="s">
        <v>637</v>
      </c>
      <c r="B621" s="4">
        <v>3692.0</v>
      </c>
      <c r="C621" s="4" t="s">
        <v>300</v>
      </c>
      <c r="D621" s="4" t="str">
        <f t="shared" si="1"/>
        <v>XGBoost</v>
      </c>
      <c r="E621" s="4">
        <f t="shared" si="2"/>
        <v>632.9142857</v>
      </c>
      <c r="F621" s="4">
        <f t="shared" si="3"/>
        <v>222.6920635</v>
      </c>
      <c r="G621" s="4">
        <f t="shared" si="4"/>
        <v>633</v>
      </c>
      <c r="H621" s="4" t="str">
        <f t="shared" si="5"/>
        <v>Binh thuong</v>
      </c>
    </row>
    <row r="622" ht="14.25" customHeight="1">
      <c r="A622" s="4" t="s">
        <v>638</v>
      </c>
      <c r="B622" s="4">
        <v>3667.0</v>
      </c>
      <c r="C622" s="4" t="s">
        <v>300</v>
      </c>
      <c r="D622" s="4" t="str">
        <f t="shared" si="1"/>
        <v>XGBoost</v>
      </c>
      <c r="E622" s="4">
        <f t="shared" si="2"/>
        <v>628.6285714</v>
      </c>
      <c r="F622" s="4">
        <f t="shared" si="3"/>
        <v>221.184127</v>
      </c>
      <c r="G622" s="4">
        <f t="shared" si="4"/>
        <v>629</v>
      </c>
      <c r="H622" s="4" t="str">
        <f t="shared" si="5"/>
        <v>Binh thuong</v>
      </c>
    </row>
    <row r="623" ht="14.25" customHeight="1">
      <c r="A623" s="4" t="s">
        <v>639</v>
      </c>
      <c r="B623" s="4">
        <v>3631.0</v>
      </c>
      <c r="C623" s="4" t="s">
        <v>300</v>
      </c>
      <c r="D623" s="4" t="str">
        <f t="shared" si="1"/>
        <v>XGBoost</v>
      </c>
      <c r="E623" s="4">
        <f t="shared" si="2"/>
        <v>622.4571429</v>
      </c>
      <c r="F623" s="4">
        <f t="shared" si="3"/>
        <v>219.0126984</v>
      </c>
      <c r="G623" s="4">
        <f t="shared" si="4"/>
        <v>622</v>
      </c>
      <c r="H623" s="4" t="str">
        <f t="shared" si="5"/>
        <v>Binh thuong</v>
      </c>
    </row>
    <row r="624" ht="14.25" customHeight="1">
      <c r="A624" s="4" t="s">
        <v>640</v>
      </c>
      <c r="B624" s="4">
        <v>3626.0</v>
      </c>
      <c r="C624" s="4" t="s">
        <v>300</v>
      </c>
      <c r="D624" s="4" t="str">
        <f t="shared" si="1"/>
        <v>XGBoost</v>
      </c>
      <c r="E624" s="4">
        <f t="shared" si="2"/>
        <v>621.6</v>
      </c>
      <c r="F624" s="4">
        <f t="shared" si="3"/>
        <v>218.7111111</v>
      </c>
      <c r="G624" s="4">
        <f t="shared" si="4"/>
        <v>622</v>
      </c>
      <c r="H624" s="4" t="str">
        <f t="shared" si="5"/>
        <v>Binh thuong</v>
      </c>
    </row>
    <row r="625" ht="14.25" customHeight="1">
      <c r="A625" s="4" t="s">
        <v>641</v>
      </c>
      <c r="B625" s="4">
        <v>3622.0</v>
      </c>
      <c r="C625" s="4" t="s">
        <v>300</v>
      </c>
      <c r="D625" s="4" t="str">
        <f t="shared" si="1"/>
        <v>XGBoost</v>
      </c>
      <c r="E625" s="4">
        <f t="shared" si="2"/>
        <v>620.9142857</v>
      </c>
      <c r="F625" s="4">
        <f t="shared" si="3"/>
        <v>218.4698413</v>
      </c>
      <c r="G625" s="4">
        <f t="shared" si="4"/>
        <v>621</v>
      </c>
      <c r="H625" s="4" t="str">
        <f t="shared" si="5"/>
        <v>Binh thuong</v>
      </c>
    </row>
    <row r="626" ht="14.25" customHeight="1">
      <c r="A626" s="4" t="s">
        <v>642</v>
      </c>
      <c r="B626" s="4">
        <v>3620.0</v>
      </c>
      <c r="C626" s="4" t="s">
        <v>300</v>
      </c>
      <c r="D626" s="4" t="str">
        <f t="shared" si="1"/>
        <v>XGBoost</v>
      </c>
      <c r="E626" s="4">
        <f t="shared" si="2"/>
        <v>620.5714286</v>
      </c>
      <c r="F626" s="4">
        <f t="shared" si="3"/>
        <v>218.3492063</v>
      </c>
      <c r="G626" s="4">
        <f t="shared" si="4"/>
        <v>621</v>
      </c>
      <c r="H626" s="4" t="str">
        <f t="shared" si="5"/>
        <v>Binh thuong</v>
      </c>
    </row>
    <row r="627" ht="14.25" customHeight="1">
      <c r="A627" s="4" t="s">
        <v>643</v>
      </c>
      <c r="B627" s="4">
        <v>3606.0</v>
      </c>
      <c r="C627" s="4" t="s">
        <v>300</v>
      </c>
      <c r="D627" s="4" t="str">
        <f t="shared" si="1"/>
        <v>XGBoost</v>
      </c>
      <c r="E627" s="4">
        <f t="shared" si="2"/>
        <v>618.1714286</v>
      </c>
      <c r="F627" s="4">
        <f t="shared" si="3"/>
        <v>217.5047619</v>
      </c>
      <c r="G627" s="4">
        <f t="shared" si="4"/>
        <v>618</v>
      </c>
      <c r="H627" s="4" t="str">
        <f t="shared" si="5"/>
        <v>Binh thuong</v>
      </c>
    </row>
    <row r="628" ht="14.25" customHeight="1">
      <c r="A628" s="4" t="s">
        <v>644</v>
      </c>
      <c r="B628" s="4">
        <v>3597.0</v>
      </c>
      <c r="C628" s="4" t="s">
        <v>300</v>
      </c>
      <c r="D628" s="4" t="str">
        <f t="shared" si="1"/>
        <v>XGBoost</v>
      </c>
      <c r="E628" s="4">
        <f t="shared" si="2"/>
        <v>616.6285714</v>
      </c>
      <c r="F628" s="4">
        <f t="shared" si="3"/>
        <v>216.9619048</v>
      </c>
      <c r="G628" s="4">
        <f t="shared" si="4"/>
        <v>617</v>
      </c>
      <c r="H628" s="4" t="str">
        <f t="shared" si="5"/>
        <v>Binh thuong</v>
      </c>
    </row>
    <row r="629" ht="14.25" customHeight="1">
      <c r="A629" s="4" t="s">
        <v>645</v>
      </c>
      <c r="B629" s="4">
        <v>3549.0</v>
      </c>
      <c r="C629" s="4" t="s">
        <v>300</v>
      </c>
      <c r="D629" s="4" t="str">
        <f t="shared" si="1"/>
        <v>XGBoost</v>
      </c>
      <c r="E629" s="4">
        <f t="shared" si="2"/>
        <v>608.4</v>
      </c>
      <c r="F629" s="4">
        <f t="shared" si="3"/>
        <v>214.0666667</v>
      </c>
      <c r="G629" s="4">
        <f t="shared" si="4"/>
        <v>608</v>
      </c>
      <c r="H629" s="4" t="str">
        <f t="shared" si="5"/>
        <v>Binh thuong</v>
      </c>
    </row>
    <row r="630" ht="14.25" customHeight="1">
      <c r="A630" s="4" t="s">
        <v>646</v>
      </c>
      <c r="B630" s="4">
        <v>3538.0</v>
      </c>
      <c r="C630" s="4" t="s">
        <v>300</v>
      </c>
      <c r="D630" s="4" t="str">
        <f t="shared" si="1"/>
        <v>XGBoost</v>
      </c>
      <c r="E630" s="4">
        <f t="shared" si="2"/>
        <v>606.5142857</v>
      </c>
      <c r="F630" s="4">
        <f t="shared" si="3"/>
        <v>213.4031746</v>
      </c>
      <c r="G630" s="4">
        <f t="shared" si="4"/>
        <v>607</v>
      </c>
      <c r="H630" s="4" t="str">
        <f t="shared" si="5"/>
        <v>Binh thuong</v>
      </c>
    </row>
    <row r="631" ht="14.25" customHeight="1">
      <c r="A631" s="4" t="s">
        <v>647</v>
      </c>
      <c r="B631" s="4">
        <v>3529.0</v>
      </c>
      <c r="C631" s="4" t="s">
        <v>300</v>
      </c>
      <c r="D631" s="4" t="str">
        <f t="shared" si="1"/>
        <v>XGBoost</v>
      </c>
      <c r="E631" s="4">
        <f t="shared" si="2"/>
        <v>604.9714286</v>
      </c>
      <c r="F631" s="4">
        <f t="shared" si="3"/>
        <v>212.8603175</v>
      </c>
      <c r="G631" s="4">
        <f t="shared" si="4"/>
        <v>605</v>
      </c>
      <c r="H631" s="4" t="str">
        <f t="shared" si="5"/>
        <v>Binh thuong</v>
      </c>
    </row>
    <row r="632" ht="14.25" customHeight="1">
      <c r="A632" s="4" t="s">
        <v>648</v>
      </c>
      <c r="B632" s="4">
        <v>3445.0</v>
      </c>
      <c r="C632" s="4" t="s">
        <v>300</v>
      </c>
      <c r="D632" s="4" t="str">
        <f t="shared" si="1"/>
        <v>XGBoost</v>
      </c>
      <c r="E632" s="4">
        <f t="shared" si="2"/>
        <v>590.5714286</v>
      </c>
      <c r="F632" s="4">
        <f t="shared" si="3"/>
        <v>207.7936508</v>
      </c>
      <c r="G632" s="4">
        <f t="shared" si="4"/>
        <v>591</v>
      </c>
      <c r="H632" s="4" t="str">
        <f t="shared" si="5"/>
        <v>Binh thuong</v>
      </c>
    </row>
    <row r="633" ht="14.25" customHeight="1">
      <c r="A633" s="4" t="s">
        <v>649</v>
      </c>
      <c r="B633" s="4">
        <v>3441.0</v>
      </c>
      <c r="C633" s="4" t="s">
        <v>300</v>
      </c>
      <c r="D633" s="4" t="str">
        <f t="shared" si="1"/>
        <v>XGBoost</v>
      </c>
      <c r="E633" s="4">
        <f t="shared" si="2"/>
        <v>589.8857143</v>
      </c>
      <c r="F633" s="4">
        <f t="shared" si="3"/>
        <v>207.552381</v>
      </c>
      <c r="G633" s="4">
        <f t="shared" si="4"/>
        <v>590</v>
      </c>
      <c r="H633" s="4" t="str">
        <f t="shared" si="5"/>
        <v>Binh thuong</v>
      </c>
    </row>
    <row r="634" ht="14.25" customHeight="1">
      <c r="A634" s="4" t="s">
        <v>650</v>
      </c>
      <c r="B634" s="4">
        <v>3421.0</v>
      </c>
      <c r="C634" s="4" t="s">
        <v>300</v>
      </c>
      <c r="D634" s="4" t="str">
        <f t="shared" si="1"/>
        <v>XGBoost</v>
      </c>
      <c r="E634" s="4">
        <f t="shared" si="2"/>
        <v>586.4571429</v>
      </c>
      <c r="F634" s="4">
        <f t="shared" si="3"/>
        <v>206.3460317</v>
      </c>
      <c r="G634" s="4">
        <f t="shared" si="4"/>
        <v>586</v>
      </c>
      <c r="H634" s="4" t="str">
        <f t="shared" si="5"/>
        <v>Binh thuong</v>
      </c>
    </row>
    <row r="635" ht="14.25" customHeight="1">
      <c r="A635" s="4" t="s">
        <v>651</v>
      </c>
      <c r="B635" s="4">
        <v>3404.0</v>
      </c>
      <c r="C635" s="4" t="s">
        <v>300</v>
      </c>
      <c r="D635" s="4" t="str">
        <f t="shared" si="1"/>
        <v>XGBoost</v>
      </c>
      <c r="E635" s="4">
        <f t="shared" si="2"/>
        <v>583.5428571</v>
      </c>
      <c r="F635" s="4">
        <f t="shared" si="3"/>
        <v>205.3206349</v>
      </c>
      <c r="G635" s="4">
        <f t="shared" si="4"/>
        <v>584</v>
      </c>
      <c r="H635" s="4" t="str">
        <f t="shared" si="5"/>
        <v>Binh thuong</v>
      </c>
    </row>
    <row r="636" ht="14.25" customHeight="1">
      <c r="A636" s="4" t="s">
        <v>652</v>
      </c>
      <c r="B636" s="4">
        <v>3397.0</v>
      </c>
      <c r="C636" s="4" t="s">
        <v>300</v>
      </c>
      <c r="D636" s="4" t="str">
        <f t="shared" si="1"/>
        <v>XGBoost</v>
      </c>
      <c r="E636" s="4">
        <f t="shared" si="2"/>
        <v>582.3428571</v>
      </c>
      <c r="F636" s="4">
        <f t="shared" si="3"/>
        <v>204.8984127</v>
      </c>
      <c r="G636" s="4">
        <f t="shared" si="4"/>
        <v>582</v>
      </c>
      <c r="H636" s="4" t="str">
        <f t="shared" si="5"/>
        <v>Binh thuong</v>
      </c>
    </row>
    <row r="637" ht="14.25" customHeight="1">
      <c r="A637" s="4" t="s">
        <v>653</v>
      </c>
      <c r="B637" s="4">
        <v>3382.0</v>
      </c>
      <c r="C637" s="4" t="s">
        <v>300</v>
      </c>
      <c r="D637" s="4" t="str">
        <f t="shared" si="1"/>
        <v>XGBoost</v>
      </c>
      <c r="E637" s="4">
        <f t="shared" si="2"/>
        <v>579.7714286</v>
      </c>
      <c r="F637" s="4">
        <f t="shared" si="3"/>
        <v>203.9936508</v>
      </c>
      <c r="G637" s="4">
        <f t="shared" si="4"/>
        <v>580</v>
      </c>
      <c r="H637" s="4" t="str">
        <f t="shared" si="5"/>
        <v>Binh thuong</v>
      </c>
    </row>
    <row r="638" ht="14.25" customHeight="1">
      <c r="A638" s="4" t="s">
        <v>654</v>
      </c>
      <c r="B638" s="4">
        <v>3372.0</v>
      </c>
      <c r="C638" s="4" t="s">
        <v>300</v>
      </c>
      <c r="D638" s="4" t="str">
        <f t="shared" si="1"/>
        <v>XGBoost</v>
      </c>
      <c r="E638" s="4">
        <f t="shared" si="2"/>
        <v>578.0571429</v>
      </c>
      <c r="F638" s="4">
        <f t="shared" si="3"/>
        <v>203.3904762</v>
      </c>
      <c r="G638" s="4">
        <f t="shared" si="4"/>
        <v>578</v>
      </c>
      <c r="H638" s="4" t="str">
        <f t="shared" si="5"/>
        <v>Binh thuong</v>
      </c>
    </row>
    <row r="639" ht="14.25" customHeight="1">
      <c r="A639" s="4" t="s">
        <v>655</v>
      </c>
      <c r="B639" s="4">
        <v>3366.0</v>
      </c>
      <c r="C639" s="4" t="s">
        <v>300</v>
      </c>
      <c r="D639" s="4" t="str">
        <f t="shared" si="1"/>
        <v>XGBoost</v>
      </c>
      <c r="E639" s="4">
        <f t="shared" si="2"/>
        <v>577.0285714</v>
      </c>
      <c r="F639" s="4">
        <f t="shared" si="3"/>
        <v>203.0285714</v>
      </c>
      <c r="G639" s="4">
        <f t="shared" si="4"/>
        <v>577</v>
      </c>
      <c r="H639" s="4" t="str">
        <f t="shared" si="5"/>
        <v>Binh thuong</v>
      </c>
    </row>
    <row r="640" ht="14.25" customHeight="1">
      <c r="A640" s="4" t="s">
        <v>656</v>
      </c>
      <c r="B640" s="4">
        <v>3358.0</v>
      </c>
      <c r="C640" s="4" t="s">
        <v>300</v>
      </c>
      <c r="D640" s="4" t="str">
        <f t="shared" si="1"/>
        <v>XGBoost</v>
      </c>
      <c r="E640" s="4">
        <f t="shared" si="2"/>
        <v>575.6571429</v>
      </c>
      <c r="F640" s="4">
        <f t="shared" si="3"/>
        <v>202.5460317</v>
      </c>
      <c r="G640" s="4">
        <f t="shared" si="4"/>
        <v>576</v>
      </c>
      <c r="H640" s="4" t="str">
        <f t="shared" si="5"/>
        <v>Binh thuong</v>
      </c>
    </row>
    <row r="641" ht="14.25" customHeight="1">
      <c r="A641" s="4" t="s">
        <v>657</v>
      </c>
      <c r="B641" s="4">
        <v>3357.0</v>
      </c>
      <c r="C641" s="4" t="s">
        <v>300</v>
      </c>
      <c r="D641" s="4" t="str">
        <f t="shared" si="1"/>
        <v>XGBoost</v>
      </c>
      <c r="E641" s="4">
        <f t="shared" si="2"/>
        <v>575.4857143</v>
      </c>
      <c r="F641" s="4">
        <f t="shared" si="3"/>
        <v>202.4857143</v>
      </c>
      <c r="G641" s="4">
        <f t="shared" si="4"/>
        <v>575</v>
      </c>
      <c r="H641" s="4" t="str">
        <f t="shared" si="5"/>
        <v>Binh thuong</v>
      </c>
    </row>
    <row r="642" ht="14.25" customHeight="1">
      <c r="A642" s="4" t="s">
        <v>658</v>
      </c>
      <c r="B642" s="4">
        <v>3356.0</v>
      </c>
      <c r="C642" s="4" t="s">
        <v>300</v>
      </c>
      <c r="D642" s="4" t="str">
        <f t="shared" si="1"/>
        <v>XGBoost</v>
      </c>
      <c r="E642" s="4">
        <f t="shared" si="2"/>
        <v>575.3142857</v>
      </c>
      <c r="F642" s="4">
        <f t="shared" si="3"/>
        <v>202.4253968</v>
      </c>
      <c r="G642" s="4">
        <f t="shared" si="4"/>
        <v>575</v>
      </c>
      <c r="H642" s="4" t="str">
        <f t="shared" si="5"/>
        <v>Binh thuong</v>
      </c>
    </row>
    <row r="643" ht="14.25" customHeight="1">
      <c r="A643" s="4" t="s">
        <v>659</v>
      </c>
      <c r="B643" s="4">
        <v>3342.0</v>
      </c>
      <c r="C643" s="4" t="s">
        <v>300</v>
      </c>
      <c r="D643" s="4" t="str">
        <f t="shared" si="1"/>
        <v>XGBoost</v>
      </c>
      <c r="E643" s="4">
        <f t="shared" si="2"/>
        <v>572.9142857</v>
      </c>
      <c r="F643" s="4">
        <f t="shared" si="3"/>
        <v>201.5809524</v>
      </c>
      <c r="G643" s="4">
        <f t="shared" si="4"/>
        <v>573</v>
      </c>
      <c r="H643" s="4" t="str">
        <f t="shared" si="5"/>
        <v>Binh thuong</v>
      </c>
    </row>
    <row r="644" ht="14.25" customHeight="1">
      <c r="A644" s="4" t="s">
        <v>660</v>
      </c>
      <c r="B644" s="4">
        <v>3311.0</v>
      </c>
      <c r="C644" s="4" t="s">
        <v>300</v>
      </c>
      <c r="D644" s="4" t="str">
        <f t="shared" si="1"/>
        <v>XGBoost</v>
      </c>
      <c r="E644" s="4">
        <f t="shared" si="2"/>
        <v>567.6</v>
      </c>
      <c r="F644" s="4">
        <f t="shared" si="3"/>
        <v>199.7111111</v>
      </c>
      <c r="G644" s="4">
        <f t="shared" si="4"/>
        <v>568</v>
      </c>
      <c r="H644" s="4" t="str">
        <f t="shared" si="5"/>
        <v>Binh thuong</v>
      </c>
    </row>
    <row r="645" ht="14.25" customHeight="1">
      <c r="A645" s="4" t="s">
        <v>661</v>
      </c>
      <c r="B645" s="4">
        <v>3294.0</v>
      </c>
      <c r="C645" s="4" t="s">
        <v>300</v>
      </c>
      <c r="D645" s="4" t="str">
        <f t="shared" si="1"/>
        <v>XGBoost</v>
      </c>
      <c r="E645" s="4">
        <f t="shared" si="2"/>
        <v>564.6857143</v>
      </c>
      <c r="F645" s="4">
        <f t="shared" si="3"/>
        <v>198.6857143</v>
      </c>
      <c r="G645" s="4">
        <f t="shared" si="4"/>
        <v>565</v>
      </c>
      <c r="H645" s="4" t="str">
        <f t="shared" si="5"/>
        <v>Binh thuong</v>
      </c>
    </row>
    <row r="646" ht="14.25" customHeight="1">
      <c r="A646" s="4" t="s">
        <v>662</v>
      </c>
      <c r="B646" s="4">
        <v>3209.0</v>
      </c>
      <c r="C646" s="4" t="s">
        <v>300</v>
      </c>
      <c r="D646" s="4" t="str">
        <f t="shared" si="1"/>
        <v>XGBoost</v>
      </c>
      <c r="E646" s="4">
        <f t="shared" si="2"/>
        <v>550.1142857</v>
      </c>
      <c r="F646" s="4">
        <f t="shared" si="3"/>
        <v>193.5587302</v>
      </c>
      <c r="G646" s="4">
        <f t="shared" si="4"/>
        <v>550</v>
      </c>
      <c r="H646" s="4" t="str">
        <f t="shared" si="5"/>
        <v>Binh thuong</v>
      </c>
    </row>
    <row r="647" ht="14.25" customHeight="1">
      <c r="A647" s="4" t="s">
        <v>663</v>
      </c>
      <c r="B647" s="4">
        <v>3203.0</v>
      </c>
      <c r="C647" s="4" t="s">
        <v>300</v>
      </c>
      <c r="D647" s="4" t="str">
        <f t="shared" si="1"/>
        <v>XGBoost</v>
      </c>
      <c r="E647" s="4">
        <f t="shared" si="2"/>
        <v>549.0857143</v>
      </c>
      <c r="F647" s="4">
        <f t="shared" si="3"/>
        <v>193.1968254</v>
      </c>
      <c r="G647" s="4">
        <f t="shared" si="4"/>
        <v>549</v>
      </c>
      <c r="H647" s="4" t="str">
        <f t="shared" si="5"/>
        <v>Binh thuong</v>
      </c>
    </row>
    <row r="648" ht="14.25" customHeight="1">
      <c r="A648" s="4" t="s">
        <v>664</v>
      </c>
      <c r="B648" s="4">
        <v>3169.0</v>
      </c>
      <c r="C648" s="4" t="s">
        <v>300</v>
      </c>
      <c r="D648" s="4" t="str">
        <f t="shared" si="1"/>
        <v>XGBoost</v>
      </c>
      <c r="E648" s="4">
        <f t="shared" si="2"/>
        <v>543.2571429</v>
      </c>
      <c r="F648" s="4">
        <f t="shared" si="3"/>
        <v>191.1460317</v>
      </c>
      <c r="G648" s="4">
        <f t="shared" si="4"/>
        <v>543</v>
      </c>
      <c r="H648" s="4" t="str">
        <f t="shared" si="5"/>
        <v>Binh thuong</v>
      </c>
    </row>
    <row r="649" ht="14.25" customHeight="1">
      <c r="A649" s="4" t="s">
        <v>665</v>
      </c>
      <c r="B649" s="4">
        <v>3134.0</v>
      </c>
      <c r="C649" s="4" t="s">
        <v>300</v>
      </c>
      <c r="D649" s="4" t="str">
        <f t="shared" si="1"/>
        <v>XGBoost</v>
      </c>
      <c r="E649" s="4">
        <f t="shared" si="2"/>
        <v>537.2571429</v>
      </c>
      <c r="F649" s="4">
        <f t="shared" si="3"/>
        <v>189.0349206</v>
      </c>
      <c r="G649" s="4">
        <f t="shared" si="4"/>
        <v>537</v>
      </c>
      <c r="H649" s="4" t="str">
        <f t="shared" si="5"/>
        <v>Binh thuong</v>
      </c>
    </row>
    <row r="650" ht="14.25" customHeight="1">
      <c r="A650" s="4" t="s">
        <v>666</v>
      </c>
      <c r="B650" s="4">
        <v>3081.0</v>
      </c>
      <c r="C650" s="4" t="s">
        <v>300</v>
      </c>
      <c r="D650" s="4" t="str">
        <f t="shared" si="1"/>
        <v>XGBoost</v>
      </c>
      <c r="E650" s="4">
        <f t="shared" si="2"/>
        <v>528.1714286</v>
      </c>
      <c r="F650" s="4">
        <f t="shared" si="3"/>
        <v>185.8380952</v>
      </c>
      <c r="G650" s="4">
        <f t="shared" si="4"/>
        <v>528</v>
      </c>
      <c r="H650" s="4" t="str">
        <f t="shared" si="5"/>
        <v>Binh thuong</v>
      </c>
    </row>
    <row r="651" ht="14.25" customHeight="1">
      <c r="A651" s="4" t="s">
        <v>667</v>
      </c>
      <c r="B651" s="4">
        <v>3073.0</v>
      </c>
      <c r="C651" s="4" t="s">
        <v>300</v>
      </c>
      <c r="D651" s="4" t="str">
        <f t="shared" si="1"/>
        <v>XGBoost</v>
      </c>
      <c r="E651" s="4">
        <f t="shared" si="2"/>
        <v>526.8</v>
      </c>
      <c r="F651" s="4">
        <f t="shared" si="3"/>
        <v>185.3555556</v>
      </c>
      <c r="G651" s="4">
        <f t="shared" si="4"/>
        <v>527</v>
      </c>
      <c r="H651" s="4" t="str">
        <f t="shared" si="5"/>
        <v>Binh thuong</v>
      </c>
    </row>
    <row r="652" ht="14.25" customHeight="1">
      <c r="A652" s="4" t="s">
        <v>668</v>
      </c>
      <c r="B652" s="4">
        <v>3053.0</v>
      </c>
      <c r="C652" s="4" t="s">
        <v>300</v>
      </c>
      <c r="D652" s="4" t="str">
        <f t="shared" si="1"/>
        <v>XGBoost</v>
      </c>
      <c r="E652" s="4">
        <f t="shared" si="2"/>
        <v>523.3714286</v>
      </c>
      <c r="F652" s="4">
        <f t="shared" si="3"/>
        <v>184.1492063</v>
      </c>
      <c r="G652" s="4">
        <f t="shared" si="4"/>
        <v>523</v>
      </c>
      <c r="H652" s="4" t="str">
        <f t="shared" si="5"/>
        <v>Binh thuong</v>
      </c>
    </row>
    <row r="653" ht="14.25" customHeight="1">
      <c r="A653" s="4" t="s">
        <v>669</v>
      </c>
      <c r="B653" s="4">
        <v>3050.0</v>
      </c>
      <c r="C653" s="4" t="s">
        <v>300</v>
      </c>
      <c r="D653" s="4" t="str">
        <f t="shared" si="1"/>
        <v>XGBoost</v>
      </c>
      <c r="E653" s="4">
        <f t="shared" si="2"/>
        <v>522.8571429</v>
      </c>
      <c r="F653" s="4">
        <f t="shared" si="3"/>
        <v>183.968254</v>
      </c>
      <c r="G653" s="4">
        <f t="shared" si="4"/>
        <v>523</v>
      </c>
      <c r="H653" s="4" t="str">
        <f t="shared" si="5"/>
        <v>Binh thuong</v>
      </c>
    </row>
    <row r="654" ht="14.25" customHeight="1">
      <c r="A654" s="4" t="s">
        <v>670</v>
      </c>
      <c r="B654" s="4">
        <v>2982.0</v>
      </c>
      <c r="C654" s="4" t="s">
        <v>300</v>
      </c>
      <c r="D654" s="4" t="str">
        <f t="shared" si="1"/>
        <v>XGBoost</v>
      </c>
      <c r="E654" s="4">
        <f t="shared" si="2"/>
        <v>511.2</v>
      </c>
      <c r="F654" s="4">
        <f t="shared" si="3"/>
        <v>179.8666667</v>
      </c>
      <c r="G654" s="4">
        <f t="shared" si="4"/>
        <v>511</v>
      </c>
      <c r="H654" s="4" t="str">
        <f t="shared" si="5"/>
        <v>Binh thuong</v>
      </c>
    </row>
    <row r="655" ht="14.25" customHeight="1">
      <c r="A655" s="4" t="s">
        <v>671</v>
      </c>
      <c r="B655" s="4">
        <v>2970.0</v>
      </c>
      <c r="C655" s="4" t="s">
        <v>300</v>
      </c>
      <c r="D655" s="4" t="str">
        <f t="shared" si="1"/>
        <v>XGBoost</v>
      </c>
      <c r="E655" s="4">
        <f t="shared" si="2"/>
        <v>509.1428571</v>
      </c>
      <c r="F655" s="4">
        <f t="shared" si="3"/>
        <v>179.1428571</v>
      </c>
      <c r="G655" s="4">
        <f t="shared" si="4"/>
        <v>509</v>
      </c>
      <c r="H655" s="4" t="str">
        <f t="shared" si="5"/>
        <v>Binh thuong</v>
      </c>
    </row>
    <row r="656" ht="14.25" customHeight="1">
      <c r="A656" s="4" t="s">
        <v>672</v>
      </c>
      <c r="B656" s="4">
        <v>2956.0</v>
      </c>
      <c r="C656" s="4" t="s">
        <v>300</v>
      </c>
      <c r="D656" s="4" t="str">
        <f t="shared" si="1"/>
        <v>XGBoost</v>
      </c>
      <c r="E656" s="4">
        <f t="shared" si="2"/>
        <v>506.7428571</v>
      </c>
      <c r="F656" s="4">
        <f t="shared" si="3"/>
        <v>178.2984127</v>
      </c>
      <c r="G656" s="4">
        <f t="shared" si="4"/>
        <v>507</v>
      </c>
      <c r="H656" s="4" t="str">
        <f t="shared" si="5"/>
        <v>Binh thuong</v>
      </c>
    </row>
    <row r="657" ht="14.25" customHeight="1">
      <c r="A657" s="4" t="s">
        <v>673</v>
      </c>
      <c r="B657" s="4">
        <v>2916.0</v>
      </c>
      <c r="C657" s="4" t="s">
        <v>300</v>
      </c>
      <c r="D657" s="4" t="str">
        <f t="shared" si="1"/>
        <v>XGBoost</v>
      </c>
      <c r="E657" s="4">
        <f t="shared" si="2"/>
        <v>499.8857143</v>
      </c>
      <c r="F657" s="4">
        <f t="shared" si="3"/>
        <v>175.8857143</v>
      </c>
      <c r="G657" s="4">
        <f t="shared" si="4"/>
        <v>500</v>
      </c>
      <c r="H657" s="4" t="str">
        <f t="shared" si="5"/>
        <v>Binh thuong</v>
      </c>
    </row>
    <row r="658" ht="14.25" customHeight="1">
      <c r="A658" s="4" t="s">
        <v>674</v>
      </c>
      <c r="B658" s="4">
        <v>2874.0</v>
      </c>
      <c r="C658" s="4" t="s">
        <v>300</v>
      </c>
      <c r="D658" s="4" t="str">
        <f t="shared" si="1"/>
        <v>XGBoost</v>
      </c>
      <c r="E658" s="4">
        <f t="shared" si="2"/>
        <v>492.6857143</v>
      </c>
      <c r="F658" s="4">
        <f t="shared" si="3"/>
        <v>173.352381</v>
      </c>
      <c r="G658" s="4">
        <f t="shared" si="4"/>
        <v>493</v>
      </c>
      <c r="H658" s="4" t="str">
        <f t="shared" si="5"/>
        <v>Binh thuong</v>
      </c>
    </row>
    <row r="659" ht="14.25" customHeight="1">
      <c r="A659" s="4" t="s">
        <v>675</v>
      </c>
      <c r="B659" s="4">
        <v>2873.0</v>
      </c>
      <c r="C659" s="4" t="s">
        <v>300</v>
      </c>
      <c r="D659" s="4" t="str">
        <f t="shared" si="1"/>
        <v>XGBoost</v>
      </c>
      <c r="E659" s="4">
        <f t="shared" si="2"/>
        <v>492.5142857</v>
      </c>
      <c r="F659" s="4">
        <f t="shared" si="3"/>
        <v>173.2920635</v>
      </c>
      <c r="G659" s="4">
        <f t="shared" si="4"/>
        <v>493</v>
      </c>
      <c r="H659" s="4" t="str">
        <f t="shared" si="5"/>
        <v>Binh thuong</v>
      </c>
    </row>
    <row r="660" ht="14.25" customHeight="1">
      <c r="A660" s="4" t="s">
        <v>676</v>
      </c>
      <c r="B660" s="4">
        <v>2763.0</v>
      </c>
      <c r="C660" s="4" t="s">
        <v>300</v>
      </c>
      <c r="D660" s="4" t="str">
        <f t="shared" si="1"/>
        <v>XGBoost</v>
      </c>
      <c r="E660" s="4">
        <f t="shared" si="2"/>
        <v>473.6571429</v>
      </c>
      <c r="F660" s="4">
        <f t="shared" si="3"/>
        <v>166.6571429</v>
      </c>
      <c r="G660" s="4">
        <f t="shared" si="4"/>
        <v>474</v>
      </c>
      <c r="H660" s="4" t="str">
        <f t="shared" si="5"/>
        <v>Binh thuong</v>
      </c>
    </row>
    <row r="661" ht="14.25" customHeight="1">
      <c r="A661" s="4" t="s">
        <v>677</v>
      </c>
      <c r="B661" s="4">
        <v>2753.0</v>
      </c>
      <c r="C661" s="4" t="s">
        <v>300</v>
      </c>
      <c r="D661" s="4" t="str">
        <f t="shared" si="1"/>
        <v>XGBoost</v>
      </c>
      <c r="E661" s="4">
        <f t="shared" si="2"/>
        <v>471.9428571</v>
      </c>
      <c r="F661" s="4">
        <f t="shared" si="3"/>
        <v>166.0539683</v>
      </c>
      <c r="G661" s="4">
        <f t="shared" si="4"/>
        <v>472</v>
      </c>
      <c r="H661" s="4" t="str">
        <f t="shared" si="5"/>
        <v>Binh thuong</v>
      </c>
    </row>
    <row r="662" ht="14.25" customHeight="1">
      <c r="A662" s="4" t="s">
        <v>678</v>
      </c>
      <c r="B662" s="4">
        <v>2712.0</v>
      </c>
      <c r="C662" s="4" t="s">
        <v>300</v>
      </c>
      <c r="D662" s="4" t="str">
        <f t="shared" si="1"/>
        <v>XGBoost</v>
      </c>
      <c r="E662" s="4">
        <f t="shared" si="2"/>
        <v>464.9142857</v>
      </c>
      <c r="F662" s="4">
        <f t="shared" si="3"/>
        <v>163.5809524</v>
      </c>
      <c r="G662" s="4">
        <f t="shared" si="4"/>
        <v>465</v>
      </c>
      <c r="H662" s="4" t="str">
        <f t="shared" si="5"/>
        <v>Binh thuong</v>
      </c>
    </row>
    <row r="663" ht="14.25" customHeight="1">
      <c r="A663" s="4" t="s">
        <v>679</v>
      </c>
      <c r="B663" s="4">
        <v>2689.0</v>
      </c>
      <c r="C663" s="4" t="s">
        <v>300</v>
      </c>
      <c r="D663" s="4" t="str">
        <f t="shared" si="1"/>
        <v>XGBoost</v>
      </c>
      <c r="E663" s="4">
        <f t="shared" si="2"/>
        <v>460.9714286</v>
      </c>
      <c r="F663" s="4">
        <f t="shared" si="3"/>
        <v>162.1936508</v>
      </c>
      <c r="G663" s="4">
        <f t="shared" si="4"/>
        <v>461</v>
      </c>
      <c r="H663" s="4" t="str">
        <f t="shared" si="5"/>
        <v>Binh thuong</v>
      </c>
    </row>
    <row r="664" ht="14.25" customHeight="1">
      <c r="A664" s="4" t="s">
        <v>680</v>
      </c>
      <c r="B664" s="4">
        <v>2660.0</v>
      </c>
      <c r="C664" s="4" t="s">
        <v>300</v>
      </c>
      <c r="D664" s="4" t="str">
        <f t="shared" si="1"/>
        <v>XGBoost</v>
      </c>
      <c r="E664" s="4">
        <f t="shared" si="2"/>
        <v>456</v>
      </c>
      <c r="F664" s="4">
        <f t="shared" si="3"/>
        <v>160.4444444</v>
      </c>
      <c r="G664" s="4">
        <f t="shared" si="4"/>
        <v>456</v>
      </c>
      <c r="H664" s="4" t="str">
        <f t="shared" si="5"/>
        <v>Binh thuong</v>
      </c>
    </row>
    <row r="665" ht="14.25" customHeight="1">
      <c r="A665" s="4" t="s">
        <v>681</v>
      </c>
      <c r="B665" s="4">
        <v>2657.0</v>
      </c>
      <c r="C665" s="4" t="s">
        <v>300</v>
      </c>
      <c r="D665" s="4" t="str">
        <f t="shared" si="1"/>
        <v>XGBoost</v>
      </c>
      <c r="E665" s="4">
        <f t="shared" si="2"/>
        <v>455.4857143</v>
      </c>
      <c r="F665" s="4">
        <f t="shared" si="3"/>
        <v>160.2634921</v>
      </c>
      <c r="G665" s="4">
        <f t="shared" si="4"/>
        <v>455</v>
      </c>
      <c r="H665" s="4" t="str">
        <f t="shared" si="5"/>
        <v>Binh thuong</v>
      </c>
    </row>
    <row r="666" ht="14.25" customHeight="1">
      <c r="A666" s="4" t="s">
        <v>682</v>
      </c>
      <c r="B666" s="4">
        <v>2630.0</v>
      </c>
      <c r="C666" s="4" t="s">
        <v>300</v>
      </c>
      <c r="D666" s="4" t="str">
        <f t="shared" si="1"/>
        <v>XGBoost</v>
      </c>
      <c r="E666" s="4">
        <f t="shared" si="2"/>
        <v>450.8571429</v>
      </c>
      <c r="F666" s="4">
        <f t="shared" si="3"/>
        <v>158.6349206</v>
      </c>
      <c r="G666" s="4">
        <f t="shared" si="4"/>
        <v>451</v>
      </c>
      <c r="H666" s="4" t="str">
        <f t="shared" si="5"/>
        <v>Binh thuong</v>
      </c>
    </row>
    <row r="667" ht="14.25" customHeight="1">
      <c r="A667" s="4" t="s">
        <v>683</v>
      </c>
      <c r="B667" s="4">
        <v>2628.0</v>
      </c>
      <c r="C667" s="4" t="s">
        <v>300</v>
      </c>
      <c r="D667" s="4" t="str">
        <f t="shared" si="1"/>
        <v>XGBoost</v>
      </c>
      <c r="E667" s="4">
        <f t="shared" si="2"/>
        <v>450.5142857</v>
      </c>
      <c r="F667" s="4">
        <f t="shared" si="3"/>
        <v>158.5142857</v>
      </c>
      <c r="G667" s="4">
        <f t="shared" si="4"/>
        <v>451</v>
      </c>
      <c r="H667" s="4" t="str">
        <f t="shared" si="5"/>
        <v>Binh thuong</v>
      </c>
    </row>
    <row r="668" ht="14.25" customHeight="1">
      <c r="A668" s="4" t="s">
        <v>684</v>
      </c>
      <c r="B668" s="4">
        <v>2622.0</v>
      </c>
      <c r="C668" s="4" t="s">
        <v>300</v>
      </c>
      <c r="D668" s="4" t="str">
        <f t="shared" si="1"/>
        <v>XGBoost</v>
      </c>
      <c r="E668" s="4">
        <f t="shared" si="2"/>
        <v>449.4857143</v>
      </c>
      <c r="F668" s="4">
        <f t="shared" si="3"/>
        <v>158.152381</v>
      </c>
      <c r="G668" s="4">
        <f t="shared" si="4"/>
        <v>449</v>
      </c>
      <c r="H668" s="4" t="str">
        <f t="shared" si="5"/>
        <v>Binh thuong</v>
      </c>
    </row>
    <row r="669" ht="14.25" customHeight="1">
      <c r="A669" s="4" t="s">
        <v>685</v>
      </c>
      <c r="B669" s="4">
        <v>2599.0</v>
      </c>
      <c r="C669" s="4" t="s">
        <v>300</v>
      </c>
      <c r="D669" s="4" t="str">
        <f t="shared" si="1"/>
        <v>XGBoost</v>
      </c>
      <c r="E669" s="4">
        <f t="shared" si="2"/>
        <v>445.5428571</v>
      </c>
      <c r="F669" s="4">
        <f t="shared" si="3"/>
        <v>156.7650794</v>
      </c>
      <c r="G669" s="4">
        <f t="shared" si="4"/>
        <v>446</v>
      </c>
      <c r="H669" s="4" t="str">
        <f t="shared" si="5"/>
        <v>Binh thuong</v>
      </c>
    </row>
    <row r="670" ht="14.25" customHeight="1">
      <c r="A670" s="4" t="s">
        <v>686</v>
      </c>
      <c r="B670" s="4">
        <v>2556.0</v>
      </c>
      <c r="C670" s="4" t="s">
        <v>300</v>
      </c>
      <c r="D670" s="4" t="str">
        <f t="shared" si="1"/>
        <v>XGBoost</v>
      </c>
      <c r="E670" s="4">
        <f t="shared" si="2"/>
        <v>438.1714286</v>
      </c>
      <c r="F670" s="4">
        <f t="shared" si="3"/>
        <v>154.1714286</v>
      </c>
      <c r="G670" s="4">
        <f t="shared" si="4"/>
        <v>438</v>
      </c>
      <c r="H670" s="4" t="str">
        <f t="shared" si="5"/>
        <v>Binh thuong</v>
      </c>
    </row>
    <row r="671" ht="14.25" customHeight="1">
      <c r="A671" s="4" t="s">
        <v>687</v>
      </c>
      <c r="B671" s="4">
        <v>2532.0</v>
      </c>
      <c r="C671" s="4" t="s">
        <v>300</v>
      </c>
      <c r="D671" s="4" t="str">
        <f t="shared" si="1"/>
        <v>XGBoost</v>
      </c>
      <c r="E671" s="4">
        <f t="shared" si="2"/>
        <v>434.0571429</v>
      </c>
      <c r="F671" s="4">
        <f t="shared" si="3"/>
        <v>152.7238095</v>
      </c>
      <c r="G671" s="4">
        <f t="shared" si="4"/>
        <v>434</v>
      </c>
      <c r="H671" s="4" t="str">
        <f t="shared" si="5"/>
        <v>Binh thuong</v>
      </c>
    </row>
    <row r="672" ht="14.25" customHeight="1">
      <c r="A672" s="4" t="s">
        <v>688</v>
      </c>
      <c r="B672" s="4">
        <v>2507.0</v>
      </c>
      <c r="C672" s="4" t="s">
        <v>300</v>
      </c>
      <c r="D672" s="4" t="str">
        <f t="shared" si="1"/>
        <v>XGBoost</v>
      </c>
      <c r="E672" s="4">
        <f t="shared" si="2"/>
        <v>429.7714286</v>
      </c>
      <c r="F672" s="4">
        <f t="shared" si="3"/>
        <v>151.215873</v>
      </c>
      <c r="G672" s="4">
        <f t="shared" si="4"/>
        <v>430</v>
      </c>
      <c r="H672" s="4" t="str">
        <f t="shared" si="5"/>
        <v>Binh thuong</v>
      </c>
    </row>
    <row r="673" ht="14.25" customHeight="1">
      <c r="A673" s="4" t="s">
        <v>689</v>
      </c>
      <c r="B673" s="4">
        <v>2500.0</v>
      </c>
      <c r="C673" s="4" t="s">
        <v>300</v>
      </c>
      <c r="D673" s="4" t="str">
        <f t="shared" si="1"/>
        <v>XGBoost</v>
      </c>
      <c r="E673" s="4">
        <f t="shared" si="2"/>
        <v>428.5714286</v>
      </c>
      <c r="F673" s="4">
        <f t="shared" si="3"/>
        <v>150.7936508</v>
      </c>
      <c r="G673" s="4">
        <f t="shared" si="4"/>
        <v>429</v>
      </c>
      <c r="H673" s="4" t="str">
        <f t="shared" si="5"/>
        <v>Binh thuong</v>
      </c>
    </row>
    <row r="674" ht="14.25" customHeight="1">
      <c r="A674" s="4" t="s">
        <v>690</v>
      </c>
      <c r="B674" s="4">
        <v>2484.0</v>
      </c>
      <c r="C674" s="4" t="s">
        <v>300</v>
      </c>
      <c r="D674" s="4" t="str">
        <f t="shared" si="1"/>
        <v>XGBoost</v>
      </c>
      <c r="E674" s="4">
        <f t="shared" si="2"/>
        <v>425.8285714</v>
      </c>
      <c r="F674" s="4">
        <f t="shared" si="3"/>
        <v>149.8285714</v>
      </c>
      <c r="G674" s="4">
        <f t="shared" si="4"/>
        <v>426</v>
      </c>
      <c r="H674" s="4" t="str">
        <f t="shared" si="5"/>
        <v>Binh thuong</v>
      </c>
    </row>
    <row r="675" ht="14.25" customHeight="1">
      <c r="A675" s="4" t="s">
        <v>691</v>
      </c>
      <c r="B675" s="4">
        <v>2456.0</v>
      </c>
      <c r="C675" s="4" t="s">
        <v>300</v>
      </c>
      <c r="D675" s="4" t="str">
        <f t="shared" si="1"/>
        <v>XGBoost</v>
      </c>
      <c r="E675" s="4">
        <f t="shared" si="2"/>
        <v>421.0285714</v>
      </c>
      <c r="F675" s="4">
        <f t="shared" si="3"/>
        <v>148.1396825</v>
      </c>
      <c r="G675" s="4">
        <f t="shared" si="4"/>
        <v>421</v>
      </c>
      <c r="H675" s="4" t="str">
        <f t="shared" si="5"/>
        <v>Binh thuong</v>
      </c>
    </row>
    <row r="676" ht="14.25" customHeight="1">
      <c r="A676" s="4" t="s">
        <v>692</v>
      </c>
      <c r="B676" s="4">
        <v>2427.0</v>
      </c>
      <c r="C676" s="4" t="s">
        <v>300</v>
      </c>
      <c r="D676" s="4" t="str">
        <f t="shared" si="1"/>
        <v>XGBoost</v>
      </c>
      <c r="E676" s="4">
        <f t="shared" si="2"/>
        <v>416.0571429</v>
      </c>
      <c r="F676" s="4">
        <f t="shared" si="3"/>
        <v>146.3904762</v>
      </c>
      <c r="G676" s="4">
        <f t="shared" si="4"/>
        <v>416</v>
      </c>
      <c r="H676" s="4" t="str">
        <f t="shared" si="5"/>
        <v>Binh thuong</v>
      </c>
    </row>
    <row r="677" ht="14.25" customHeight="1">
      <c r="A677" s="4" t="s">
        <v>693</v>
      </c>
      <c r="B677" s="4">
        <v>2413.0</v>
      </c>
      <c r="C677" s="4" t="s">
        <v>300</v>
      </c>
      <c r="D677" s="4" t="str">
        <f t="shared" si="1"/>
        <v>XGBoost</v>
      </c>
      <c r="E677" s="4">
        <f t="shared" si="2"/>
        <v>413.6571429</v>
      </c>
      <c r="F677" s="4">
        <f t="shared" si="3"/>
        <v>145.5460317</v>
      </c>
      <c r="G677" s="4">
        <f t="shared" si="4"/>
        <v>414</v>
      </c>
      <c r="H677" s="4" t="str">
        <f t="shared" si="5"/>
        <v>Binh thuong</v>
      </c>
    </row>
    <row r="678" ht="14.25" customHeight="1">
      <c r="A678" s="4" t="s">
        <v>694</v>
      </c>
      <c r="B678" s="4">
        <v>2411.0</v>
      </c>
      <c r="C678" s="4" t="s">
        <v>300</v>
      </c>
      <c r="D678" s="4" t="str">
        <f t="shared" si="1"/>
        <v>XGBoost</v>
      </c>
      <c r="E678" s="4">
        <f t="shared" si="2"/>
        <v>413.3142857</v>
      </c>
      <c r="F678" s="4">
        <f t="shared" si="3"/>
        <v>145.4253968</v>
      </c>
      <c r="G678" s="4">
        <f t="shared" si="4"/>
        <v>413</v>
      </c>
      <c r="H678" s="4" t="str">
        <f t="shared" si="5"/>
        <v>Binh thuong</v>
      </c>
    </row>
    <row r="679" ht="14.25" customHeight="1">
      <c r="A679" s="4" t="s">
        <v>695</v>
      </c>
      <c r="B679" s="4">
        <v>2400.0</v>
      </c>
      <c r="C679" s="4" t="s">
        <v>300</v>
      </c>
      <c r="D679" s="4" t="str">
        <f t="shared" si="1"/>
        <v>XGBoost</v>
      </c>
      <c r="E679" s="4">
        <f t="shared" si="2"/>
        <v>411.4285714</v>
      </c>
      <c r="F679" s="4">
        <f t="shared" si="3"/>
        <v>144.7619048</v>
      </c>
      <c r="G679" s="4">
        <f t="shared" si="4"/>
        <v>411</v>
      </c>
      <c r="H679" s="4" t="str">
        <f t="shared" si="5"/>
        <v>Binh thuong</v>
      </c>
    </row>
    <row r="680" ht="14.25" customHeight="1">
      <c r="A680" s="4" t="s">
        <v>696</v>
      </c>
      <c r="B680" s="4">
        <v>2390.0</v>
      </c>
      <c r="C680" s="4" t="s">
        <v>300</v>
      </c>
      <c r="D680" s="4" t="str">
        <f t="shared" si="1"/>
        <v>XGBoost</v>
      </c>
      <c r="E680" s="4">
        <f t="shared" si="2"/>
        <v>409.7142857</v>
      </c>
      <c r="F680" s="4">
        <f t="shared" si="3"/>
        <v>144.1587302</v>
      </c>
      <c r="G680" s="4">
        <f t="shared" si="4"/>
        <v>410</v>
      </c>
      <c r="H680" s="4" t="str">
        <f t="shared" si="5"/>
        <v>Binh thuong</v>
      </c>
    </row>
    <row r="681" ht="14.25" customHeight="1">
      <c r="A681" s="4" t="s">
        <v>697</v>
      </c>
      <c r="B681" s="4">
        <v>2370.0</v>
      </c>
      <c r="C681" s="4" t="s">
        <v>300</v>
      </c>
      <c r="D681" s="4" t="str">
        <f t="shared" si="1"/>
        <v>XGBoost</v>
      </c>
      <c r="E681" s="4">
        <f t="shared" si="2"/>
        <v>406.2857143</v>
      </c>
      <c r="F681" s="4">
        <f t="shared" si="3"/>
        <v>142.952381</v>
      </c>
      <c r="G681" s="4">
        <f t="shared" si="4"/>
        <v>406</v>
      </c>
      <c r="H681" s="4" t="str">
        <f t="shared" si="5"/>
        <v>Binh thuong</v>
      </c>
    </row>
    <row r="682" ht="14.25" customHeight="1">
      <c r="A682" s="4" t="s">
        <v>698</v>
      </c>
      <c r="B682" s="4">
        <v>2342.0</v>
      </c>
      <c r="C682" s="4" t="s">
        <v>300</v>
      </c>
      <c r="D682" s="4" t="str">
        <f t="shared" si="1"/>
        <v>XGBoost</v>
      </c>
      <c r="E682" s="4">
        <f t="shared" si="2"/>
        <v>401.4857143</v>
      </c>
      <c r="F682" s="4">
        <f t="shared" si="3"/>
        <v>141.2634921</v>
      </c>
      <c r="G682" s="4">
        <f t="shared" si="4"/>
        <v>401</v>
      </c>
      <c r="H682" s="4" t="str">
        <f t="shared" si="5"/>
        <v>Binh thuong</v>
      </c>
    </row>
    <row r="683" ht="14.25" customHeight="1">
      <c r="A683" s="4" t="s">
        <v>699</v>
      </c>
      <c r="B683" s="4">
        <v>2338.0</v>
      </c>
      <c r="C683" s="4" t="s">
        <v>300</v>
      </c>
      <c r="D683" s="4" t="str">
        <f t="shared" si="1"/>
        <v>XGBoost</v>
      </c>
      <c r="E683" s="4">
        <f t="shared" si="2"/>
        <v>400.8</v>
      </c>
      <c r="F683" s="4">
        <f t="shared" si="3"/>
        <v>141.0222222</v>
      </c>
      <c r="G683" s="4">
        <f t="shared" si="4"/>
        <v>401</v>
      </c>
      <c r="H683" s="4" t="str">
        <f t="shared" si="5"/>
        <v>Binh thuong</v>
      </c>
    </row>
    <row r="684" ht="14.25" customHeight="1">
      <c r="A684" s="4" t="s">
        <v>700</v>
      </c>
      <c r="B684" s="4">
        <v>2298.0</v>
      </c>
      <c r="C684" s="4" t="s">
        <v>300</v>
      </c>
      <c r="D684" s="4" t="str">
        <f t="shared" si="1"/>
        <v>XGBoost</v>
      </c>
      <c r="E684" s="4">
        <f t="shared" si="2"/>
        <v>393.9428571</v>
      </c>
      <c r="F684" s="4">
        <f t="shared" si="3"/>
        <v>138.6095238</v>
      </c>
      <c r="G684" s="4">
        <f t="shared" si="4"/>
        <v>394</v>
      </c>
      <c r="H684" s="4" t="str">
        <f t="shared" si="5"/>
        <v>Binh thuong</v>
      </c>
    </row>
    <row r="685" ht="14.25" customHeight="1">
      <c r="A685" s="4" t="s">
        <v>701</v>
      </c>
      <c r="B685" s="4">
        <v>2275.0</v>
      </c>
      <c r="C685" s="4" t="s">
        <v>300</v>
      </c>
      <c r="D685" s="4" t="str">
        <f t="shared" si="1"/>
        <v>XGBoost</v>
      </c>
      <c r="E685" s="4">
        <f t="shared" si="2"/>
        <v>390</v>
      </c>
      <c r="F685" s="4">
        <f t="shared" si="3"/>
        <v>137.2222222</v>
      </c>
      <c r="G685" s="4">
        <f t="shared" si="4"/>
        <v>390</v>
      </c>
      <c r="H685" s="4" t="str">
        <f t="shared" si="5"/>
        <v>Binh thuong</v>
      </c>
    </row>
    <row r="686" ht="14.25" customHeight="1">
      <c r="A686" s="4" t="s">
        <v>702</v>
      </c>
      <c r="B686" s="4">
        <v>2272.0</v>
      </c>
      <c r="C686" s="4" t="s">
        <v>300</v>
      </c>
      <c r="D686" s="4" t="str">
        <f t="shared" si="1"/>
        <v>XGBoost</v>
      </c>
      <c r="E686" s="4">
        <f t="shared" si="2"/>
        <v>389.4857143</v>
      </c>
      <c r="F686" s="4">
        <f t="shared" si="3"/>
        <v>137.0412698</v>
      </c>
      <c r="G686" s="4">
        <f t="shared" si="4"/>
        <v>389</v>
      </c>
      <c r="H686" s="4" t="str">
        <f t="shared" si="5"/>
        <v>Binh thuong</v>
      </c>
    </row>
    <row r="687" ht="14.25" customHeight="1">
      <c r="A687" s="4" t="s">
        <v>703</v>
      </c>
      <c r="B687" s="4">
        <v>2260.0</v>
      </c>
      <c r="C687" s="4" t="s">
        <v>300</v>
      </c>
      <c r="D687" s="4" t="str">
        <f t="shared" si="1"/>
        <v>XGBoost</v>
      </c>
      <c r="E687" s="4">
        <f t="shared" si="2"/>
        <v>387.4285714</v>
      </c>
      <c r="F687" s="4">
        <f t="shared" si="3"/>
        <v>136.3174603</v>
      </c>
      <c r="G687" s="4">
        <f t="shared" si="4"/>
        <v>387</v>
      </c>
      <c r="H687" s="4" t="str">
        <f t="shared" si="5"/>
        <v>Binh thuong</v>
      </c>
    </row>
    <row r="688" ht="14.25" customHeight="1">
      <c r="A688" s="4" t="s">
        <v>704</v>
      </c>
      <c r="B688" s="4">
        <v>2258.0</v>
      </c>
      <c r="C688" s="4" t="s">
        <v>300</v>
      </c>
      <c r="D688" s="4" t="str">
        <f t="shared" si="1"/>
        <v>XGBoost</v>
      </c>
      <c r="E688" s="4">
        <f t="shared" si="2"/>
        <v>387.0857143</v>
      </c>
      <c r="F688" s="4">
        <f t="shared" si="3"/>
        <v>136.1968254</v>
      </c>
      <c r="G688" s="4">
        <f t="shared" si="4"/>
        <v>387</v>
      </c>
      <c r="H688" s="4" t="str">
        <f t="shared" si="5"/>
        <v>Binh thuong</v>
      </c>
    </row>
    <row r="689" ht="14.25" customHeight="1">
      <c r="A689" s="4" t="s">
        <v>705</v>
      </c>
      <c r="B689" s="4">
        <v>2251.0</v>
      </c>
      <c r="C689" s="4" t="s">
        <v>300</v>
      </c>
      <c r="D689" s="4" t="str">
        <f t="shared" si="1"/>
        <v>XGBoost</v>
      </c>
      <c r="E689" s="4">
        <f t="shared" si="2"/>
        <v>385.8857143</v>
      </c>
      <c r="F689" s="4">
        <f t="shared" si="3"/>
        <v>135.7746032</v>
      </c>
      <c r="G689" s="4">
        <f t="shared" si="4"/>
        <v>386</v>
      </c>
      <c r="H689" s="4" t="str">
        <f t="shared" si="5"/>
        <v>Binh thuong</v>
      </c>
    </row>
    <row r="690" ht="14.25" customHeight="1">
      <c r="A690" s="4" t="s">
        <v>706</v>
      </c>
      <c r="B690" s="4">
        <v>2236.0</v>
      </c>
      <c r="C690" s="4" t="s">
        <v>300</v>
      </c>
      <c r="D690" s="4" t="str">
        <f t="shared" si="1"/>
        <v>XGBoost</v>
      </c>
      <c r="E690" s="4">
        <f t="shared" si="2"/>
        <v>383.3142857</v>
      </c>
      <c r="F690" s="4">
        <f t="shared" si="3"/>
        <v>134.8698413</v>
      </c>
      <c r="G690" s="4">
        <f t="shared" si="4"/>
        <v>383</v>
      </c>
      <c r="H690" s="4" t="str">
        <f t="shared" si="5"/>
        <v>Binh thuong</v>
      </c>
    </row>
    <row r="691" ht="14.25" customHeight="1">
      <c r="A691" s="4" t="s">
        <v>707</v>
      </c>
      <c r="B691" s="4">
        <v>2216.0</v>
      </c>
      <c r="C691" s="4" t="s">
        <v>300</v>
      </c>
      <c r="D691" s="4" t="str">
        <f t="shared" si="1"/>
        <v>XGBoost</v>
      </c>
      <c r="E691" s="4">
        <f t="shared" si="2"/>
        <v>379.8857143</v>
      </c>
      <c r="F691" s="4">
        <f t="shared" si="3"/>
        <v>133.6634921</v>
      </c>
      <c r="G691" s="4">
        <f t="shared" si="4"/>
        <v>380</v>
      </c>
      <c r="H691" s="4" t="str">
        <f t="shared" si="5"/>
        <v>Binh thuong</v>
      </c>
    </row>
    <row r="692" ht="14.25" customHeight="1">
      <c r="A692" s="4" t="s">
        <v>708</v>
      </c>
      <c r="B692" s="4">
        <v>2190.0</v>
      </c>
      <c r="C692" s="4" t="s">
        <v>300</v>
      </c>
      <c r="D692" s="4" t="str">
        <f t="shared" si="1"/>
        <v>XGBoost</v>
      </c>
      <c r="E692" s="4">
        <f t="shared" si="2"/>
        <v>375.4285714</v>
      </c>
      <c r="F692" s="4">
        <f t="shared" si="3"/>
        <v>132.0952381</v>
      </c>
      <c r="G692" s="4">
        <f t="shared" si="4"/>
        <v>375</v>
      </c>
      <c r="H692" s="4" t="str">
        <f t="shared" si="5"/>
        <v>Binh thuong</v>
      </c>
    </row>
    <row r="693" ht="14.25" customHeight="1">
      <c r="A693" s="4" t="s">
        <v>709</v>
      </c>
      <c r="B693" s="4">
        <v>2189.0</v>
      </c>
      <c r="C693" s="4" t="s">
        <v>300</v>
      </c>
      <c r="D693" s="4" t="str">
        <f t="shared" si="1"/>
        <v>XGBoost</v>
      </c>
      <c r="E693" s="4">
        <f t="shared" si="2"/>
        <v>375.2571429</v>
      </c>
      <c r="F693" s="4">
        <f t="shared" si="3"/>
        <v>132.0349206</v>
      </c>
      <c r="G693" s="4">
        <f t="shared" si="4"/>
        <v>375</v>
      </c>
      <c r="H693" s="4" t="str">
        <f t="shared" si="5"/>
        <v>Binh thuong</v>
      </c>
    </row>
    <row r="694" ht="14.25" customHeight="1">
      <c r="A694" s="4" t="s">
        <v>710</v>
      </c>
      <c r="B694" s="4">
        <v>2168.0</v>
      </c>
      <c r="C694" s="4" t="s">
        <v>300</v>
      </c>
      <c r="D694" s="4" t="str">
        <f t="shared" si="1"/>
        <v>XGBoost</v>
      </c>
      <c r="E694" s="4">
        <f t="shared" si="2"/>
        <v>371.6571429</v>
      </c>
      <c r="F694" s="4">
        <f t="shared" si="3"/>
        <v>130.768254</v>
      </c>
      <c r="G694" s="4">
        <f t="shared" si="4"/>
        <v>372</v>
      </c>
      <c r="H694" s="4" t="str">
        <f t="shared" si="5"/>
        <v>Binh thuong</v>
      </c>
    </row>
    <row r="695" ht="14.25" customHeight="1">
      <c r="A695" s="4" t="s">
        <v>711</v>
      </c>
      <c r="B695" s="4">
        <v>2153.0</v>
      </c>
      <c r="C695" s="4" t="s">
        <v>300</v>
      </c>
      <c r="D695" s="4" t="str">
        <f t="shared" si="1"/>
        <v>XGBoost</v>
      </c>
      <c r="E695" s="4">
        <f t="shared" si="2"/>
        <v>369.0857143</v>
      </c>
      <c r="F695" s="4">
        <f t="shared" si="3"/>
        <v>129.8634921</v>
      </c>
      <c r="G695" s="4">
        <f t="shared" si="4"/>
        <v>369</v>
      </c>
      <c r="H695" s="4" t="str">
        <f t="shared" si="5"/>
        <v>Binh thuong</v>
      </c>
    </row>
    <row r="696" ht="14.25" customHeight="1">
      <c r="A696" s="4" t="s">
        <v>712</v>
      </c>
      <c r="B696" s="4">
        <v>2140.0</v>
      </c>
      <c r="C696" s="4" t="s">
        <v>300</v>
      </c>
      <c r="D696" s="4" t="str">
        <f t="shared" si="1"/>
        <v>XGBoost</v>
      </c>
      <c r="E696" s="4">
        <f t="shared" si="2"/>
        <v>366.8571429</v>
      </c>
      <c r="F696" s="4">
        <f t="shared" si="3"/>
        <v>129.0793651</v>
      </c>
      <c r="G696" s="4">
        <f t="shared" si="4"/>
        <v>367</v>
      </c>
      <c r="H696" s="4" t="str">
        <f t="shared" si="5"/>
        <v>Binh thuong</v>
      </c>
    </row>
    <row r="697" ht="14.25" customHeight="1">
      <c r="A697" s="4" t="s">
        <v>713</v>
      </c>
      <c r="B697" s="4">
        <v>2133.0</v>
      </c>
      <c r="C697" s="4" t="s">
        <v>300</v>
      </c>
      <c r="D697" s="4" t="str">
        <f t="shared" si="1"/>
        <v>XGBoost</v>
      </c>
      <c r="E697" s="4">
        <f t="shared" si="2"/>
        <v>365.6571429</v>
      </c>
      <c r="F697" s="4">
        <f t="shared" si="3"/>
        <v>128.6571429</v>
      </c>
      <c r="G697" s="4">
        <f t="shared" si="4"/>
        <v>366</v>
      </c>
      <c r="H697" s="4" t="str">
        <f t="shared" si="5"/>
        <v>Binh thuong</v>
      </c>
    </row>
    <row r="698" ht="14.25" customHeight="1">
      <c r="A698" s="4" t="s">
        <v>714</v>
      </c>
      <c r="B698" s="4">
        <v>2088.0</v>
      </c>
      <c r="C698" s="4" t="s">
        <v>300</v>
      </c>
      <c r="D698" s="4" t="str">
        <f t="shared" si="1"/>
        <v>XGBoost</v>
      </c>
      <c r="E698" s="4">
        <f t="shared" si="2"/>
        <v>357.9428571</v>
      </c>
      <c r="F698" s="4">
        <f t="shared" si="3"/>
        <v>125.9428571</v>
      </c>
      <c r="G698" s="4">
        <f t="shared" si="4"/>
        <v>358</v>
      </c>
      <c r="H698" s="4" t="str">
        <f t="shared" si="5"/>
        <v>Binh thuong</v>
      </c>
    </row>
    <row r="699" ht="14.25" customHeight="1">
      <c r="A699" s="4" t="s">
        <v>715</v>
      </c>
      <c r="B699" s="4">
        <v>2080.0</v>
      </c>
      <c r="C699" s="4" t="s">
        <v>300</v>
      </c>
      <c r="D699" s="4" t="str">
        <f t="shared" si="1"/>
        <v>XGBoost</v>
      </c>
      <c r="E699" s="4">
        <f t="shared" si="2"/>
        <v>356.5714286</v>
      </c>
      <c r="F699" s="4">
        <f t="shared" si="3"/>
        <v>125.4603175</v>
      </c>
      <c r="G699" s="4">
        <f t="shared" si="4"/>
        <v>357</v>
      </c>
      <c r="H699" s="4" t="str">
        <f t="shared" si="5"/>
        <v>Binh thuong</v>
      </c>
    </row>
    <row r="700" ht="14.25" customHeight="1">
      <c r="A700" s="4" t="s">
        <v>716</v>
      </c>
      <c r="B700" s="4">
        <v>2074.0</v>
      </c>
      <c r="C700" s="4" t="s">
        <v>300</v>
      </c>
      <c r="D700" s="4" t="str">
        <f t="shared" si="1"/>
        <v>XGBoost</v>
      </c>
      <c r="E700" s="4">
        <f t="shared" si="2"/>
        <v>355.5428571</v>
      </c>
      <c r="F700" s="4">
        <f t="shared" si="3"/>
        <v>125.0984127</v>
      </c>
      <c r="G700" s="4">
        <f t="shared" si="4"/>
        <v>356</v>
      </c>
      <c r="H700" s="4" t="str">
        <f t="shared" si="5"/>
        <v>Binh thuong</v>
      </c>
    </row>
    <row r="701" ht="14.25" customHeight="1">
      <c r="A701" s="4" t="s">
        <v>717</v>
      </c>
      <c r="B701" s="4">
        <v>2069.0</v>
      </c>
      <c r="C701" s="4" t="s">
        <v>300</v>
      </c>
      <c r="D701" s="4" t="str">
        <f t="shared" si="1"/>
        <v>XGBoost</v>
      </c>
      <c r="E701" s="4">
        <f t="shared" si="2"/>
        <v>354.6857143</v>
      </c>
      <c r="F701" s="4">
        <f t="shared" si="3"/>
        <v>124.7968254</v>
      </c>
      <c r="G701" s="4">
        <f t="shared" si="4"/>
        <v>355</v>
      </c>
      <c r="H701" s="4" t="str">
        <f t="shared" si="5"/>
        <v>Binh thuong</v>
      </c>
    </row>
    <row r="702" ht="14.25" customHeight="1">
      <c r="A702" s="4" t="s">
        <v>718</v>
      </c>
      <c r="B702" s="4">
        <v>2059.0</v>
      </c>
      <c r="C702" s="4" t="s">
        <v>300</v>
      </c>
      <c r="D702" s="4" t="str">
        <f t="shared" si="1"/>
        <v>XGBoost</v>
      </c>
      <c r="E702" s="4">
        <f t="shared" si="2"/>
        <v>352.9714286</v>
      </c>
      <c r="F702" s="4">
        <f t="shared" si="3"/>
        <v>124.1936508</v>
      </c>
      <c r="G702" s="4">
        <f t="shared" si="4"/>
        <v>353</v>
      </c>
      <c r="H702" s="4" t="str">
        <f t="shared" si="5"/>
        <v>Binh thuong</v>
      </c>
    </row>
    <row r="703" ht="14.25" customHeight="1">
      <c r="A703" s="4" t="s">
        <v>719</v>
      </c>
      <c r="B703" s="4">
        <v>2056.0</v>
      </c>
      <c r="C703" s="4" t="s">
        <v>300</v>
      </c>
      <c r="D703" s="4" t="str">
        <f t="shared" si="1"/>
        <v>XGBoost</v>
      </c>
      <c r="E703" s="4">
        <f t="shared" si="2"/>
        <v>352.4571429</v>
      </c>
      <c r="F703" s="4">
        <f t="shared" si="3"/>
        <v>124.0126984</v>
      </c>
      <c r="G703" s="4">
        <f t="shared" si="4"/>
        <v>352</v>
      </c>
      <c r="H703" s="4" t="str">
        <f t="shared" si="5"/>
        <v>Binh thuong</v>
      </c>
    </row>
    <row r="704" ht="14.25" customHeight="1">
      <c r="A704" s="4" t="s">
        <v>720</v>
      </c>
      <c r="B704" s="4">
        <v>2042.0</v>
      </c>
      <c r="C704" s="4" t="s">
        <v>300</v>
      </c>
      <c r="D704" s="4" t="str">
        <f t="shared" si="1"/>
        <v>XGBoost</v>
      </c>
      <c r="E704" s="4">
        <f t="shared" si="2"/>
        <v>350.0571429</v>
      </c>
      <c r="F704" s="4">
        <f t="shared" si="3"/>
        <v>123.168254</v>
      </c>
      <c r="G704" s="4">
        <f t="shared" si="4"/>
        <v>350</v>
      </c>
      <c r="H704" s="4" t="str">
        <f t="shared" si="5"/>
        <v>Binh thuong</v>
      </c>
    </row>
    <row r="705" ht="14.25" customHeight="1">
      <c r="A705" s="4" t="s">
        <v>721</v>
      </c>
      <c r="B705" s="4">
        <v>2037.0</v>
      </c>
      <c r="C705" s="4" t="s">
        <v>300</v>
      </c>
      <c r="D705" s="4" t="str">
        <f t="shared" si="1"/>
        <v>XGBoost</v>
      </c>
      <c r="E705" s="4">
        <f t="shared" si="2"/>
        <v>349.2</v>
      </c>
      <c r="F705" s="4">
        <f t="shared" si="3"/>
        <v>122.8666667</v>
      </c>
      <c r="G705" s="4">
        <f t="shared" si="4"/>
        <v>349</v>
      </c>
      <c r="H705" s="4" t="str">
        <f t="shared" si="5"/>
        <v>Binh thuong</v>
      </c>
    </row>
    <row r="706" ht="14.25" customHeight="1">
      <c r="A706" s="4" t="s">
        <v>722</v>
      </c>
      <c r="B706" s="4">
        <v>2008.0</v>
      </c>
      <c r="C706" s="4" t="s">
        <v>300</v>
      </c>
      <c r="D706" s="4" t="str">
        <f t="shared" si="1"/>
        <v>XGBoost</v>
      </c>
      <c r="E706" s="4">
        <f t="shared" si="2"/>
        <v>344.2285714</v>
      </c>
      <c r="F706" s="4">
        <f t="shared" si="3"/>
        <v>121.1174603</v>
      </c>
      <c r="G706" s="4">
        <f t="shared" si="4"/>
        <v>344</v>
      </c>
      <c r="H706" s="4" t="str">
        <f t="shared" si="5"/>
        <v>Binh thuong</v>
      </c>
    </row>
    <row r="707" ht="14.25" customHeight="1">
      <c r="A707" s="4" t="s">
        <v>723</v>
      </c>
      <c r="B707" s="4">
        <v>2005.0</v>
      </c>
      <c r="C707" s="4" t="s">
        <v>300</v>
      </c>
      <c r="D707" s="4" t="str">
        <f t="shared" si="1"/>
        <v>XGBoost</v>
      </c>
      <c r="E707" s="4">
        <f t="shared" si="2"/>
        <v>343.7142857</v>
      </c>
      <c r="F707" s="4">
        <f t="shared" si="3"/>
        <v>120.9365079</v>
      </c>
      <c r="G707" s="4">
        <f t="shared" si="4"/>
        <v>344</v>
      </c>
      <c r="H707" s="4" t="str">
        <f t="shared" si="5"/>
        <v>Binh thuong</v>
      </c>
    </row>
    <row r="708" ht="14.25" customHeight="1">
      <c r="A708" s="4" t="s">
        <v>724</v>
      </c>
      <c r="B708" s="4">
        <v>2005.0</v>
      </c>
      <c r="C708" s="4" t="s">
        <v>300</v>
      </c>
      <c r="D708" s="4" t="str">
        <f t="shared" si="1"/>
        <v>XGBoost</v>
      </c>
      <c r="E708" s="4">
        <f t="shared" si="2"/>
        <v>343.7142857</v>
      </c>
      <c r="F708" s="4">
        <f t="shared" si="3"/>
        <v>120.9365079</v>
      </c>
      <c r="G708" s="4">
        <f t="shared" si="4"/>
        <v>344</v>
      </c>
      <c r="H708" s="4" t="str">
        <f t="shared" si="5"/>
        <v>Binh thuong</v>
      </c>
    </row>
    <row r="709" ht="14.25" customHeight="1">
      <c r="A709" s="4" t="s">
        <v>725</v>
      </c>
      <c r="B709" s="4">
        <v>2000.0</v>
      </c>
      <c r="C709" s="4" t="s">
        <v>300</v>
      </c>
      <c r="D709" s="4" t="str">
        <f t="shared" si="1"/>
        <v>XGBoost</v>
      </c>
      <c r="E709" s="4">
        <f t="shared" si="2"/>
        <v>342.8571429</v>
      </c>
      <c r="F709" s="4">
        <f t="shared" si="3"/>
        <v>120.6349206</v>
      </c>
      <c r="G709" s="4">
        <f t="shared" si="4"/>
        <v>343</v>
      </c>
      <c r="H709" s="4" t="str">
        <f t="shared" si="5"/>
        <v>Binh thuong</v>
      </c>
    </row>
    <row r="710" ht="14.25" customHeight="1">
      <c r="A710" s="4" t="s">
        <v>726</v>
      </c>
      <c r="B710" s="4">
        <v>1974.0</v>
      </c>
      <c r="C710" s="4" t="s">
        <v>300</v>
      </c>
      <c r="D710" s="4" t="str">
        <f t="shared" si="1"/>
        <v>XGBoost</v>
      </c>
      <c r="E710" s="4">
        <f t="shared" si="2"/>
        <v>338.4</v>
      </c>
      <c r="F710" s="4">
        <f t="shared" si="3"/>
        <v>119.0666667</v>
      </c>
      <c r="G710" s="4">
        <f t="shared" si="4"/>
        <v>338</v>
      </c>
      <c r="H710" s="4" t="str">
        <f t="shared" si="5"/>
        <v>Binh thuong</v>
      </c>
    </row>
    <row r="711" ht="14.25" customHeight="1">
      <c r="A711" s="4" t="s">
        <v>727</v>
      </c>
      <c r="B711" s="4">
        <v>1973.0</v>
      </c>
      <c r="C711" s="4" t="s">
        <v>300</v>
      </c>
      <c r="D711" s="4" t="str">
        <f t="shared" si="1"/>
        <v>XGBoost</v>
      </c>
      <c r="E711" s="4">
        <f t="shared" si="2"/>
        <v>338.2285714</v>
      </c>
      <c r="F711" s="4">
        <f t="shared" si="3"/>
        <v>119.0063492</v>
      </c>
      <c r="G711" s="4">
        <f t="shared" si="4"/>
        <v>338</v>
      </c>
      <c r="H711" s="4" t="str">
        <f t="shared" si="5"/>
        <v>Binh thuong</v>
      </c>
    </row>
    <row r="712" ht="14.25" customHeight="1">
      <c r="A712" s="4" t="s">
        <v>728</v>
      </c>
      <c r="B712" s="4">
        <v>1970.0</v>
      </c>
      <c r="C712" s="4" t="s">
        <v>300</v>
      </c>
      <c r="D712" s="4" t="str">
        <f t="shared" si="1"/>
        <v>XGBoost</v>
      </c>
      <c r="E712" s="4">
        <f t="shared" si="2"/>
        <v>337.7142857</v>
      </c>
      <c r="F712" s="4">
        <f t="shared" si="3"/>
        <v>118.8253968</v>
      </c>
      <c r="G712" s="4">
        <f t="shared" si="4"/>
        <v>338</v>
      </c>
      <c r="H712" s="4" t="str">
        <f t="shared" si="5"/>
        <v>Binh thuong</v>
      </c>
    </row>
    <row r="713" ht="14.25" customHeight="1">
      <c r="A713" s="4" t="s">
        <v>729</v>
      </c>
      <c r="B713" s="4">
        <v>1920.0</v>
      </c>
      <c r="C713" s="4" t="s">
        <v>300</v>
      </c>
      <c r="D713" s="4" t="str">
        <f t="shared" si="1"/>
        <v>XGBoost</v>
      </c>
      <c r="E713" s="4">
        <f t="shared" si="2"/>
        <v>329.1428571</v>
      </c>
      <c r="F713" s="4">
        <f t="shared" si="3"/>
        <v>115.8095238</v>
      </c>
      <c r="G713" s="4">
        <f t="shared" si="4"/>
        <v>329</v>
      </c>
      <c r="H713" s="4" t="str">
        <f t="shared" si="5"/>
        <v>Binh thuong</v>
      </c>
    </row>
    <row r="714" ht="14.25" customHeight="1">
      <c r="A714" s="4" t="s">
        <v>730</v>
      </c>
      <c r="B714" s="4">
        <v>1888.0</v>
      </c>
      <c r="C714" s="4" t="s">
        <v>300</v>
      </c>
      <c r="D714" s="4" t="str">
        <f t="shared" si="1"/>
        <v>XGBoost</v>
      </c>
      <c r="E714" s="4">
        <f t="shared" si="2"/>
        <v>323.6571429</v>
      </c>
      <c r="F714" s="4">
        <f t="shared" si="3"/>
        <v>113.8793651</v>
      </c>
      <c r="G714" s="4">
        <f t="shared" si="4"/>
        <v>324</v>
      </c>
      <c r="H714" s="4" t="str">
        <f t="shared" si="5"/>
        <v>Binh thuong</v>
      </c>
    </row>
    <row r="715" ht="14.25" customHeight="1">
      <c r="A715" s="4" t="s">
        <v>731</v>
      </c>
      <c r="B715" s="4">
        <v>1874.0</v>
      </c>
      <c r="C715" s="4" t="s">
        <v>300</v>
      </c>
      <c r="D715" s="4" t="str">
        <f t="shared" si="1"/>
        <v>XGBoost</v>
      </c>
      <c r="E715" s="4">
        <f t="shared" si="2"/>
        <v>321.2571429</v>
      </c>
      <c r="F715" s="4">
        <f t="shared" si="3"/>
        <v>113.0349206</v>
      </c>
      <c r="G715" s="4">
        <f t="shared" si="4"/>
        <v>321</v>
      </c>
      <c r="H715" s="4" t="str">
        <f t="shared" si="5"/>
        <v>Binh thuong</v>
      </c>
    </row>
    <row r="716" ht="14.25" customHeight="1">
      <c r="A716" s="4" t="s">
        <v>732</v>
      </c>
      <c r="B716" s="4">
        <v>1820.0</v>
      </c>
      <c r="C716" s="4" t="s">
        <v>300</v>
      </c>
      <c r="D716" s="4" t="str">
        <f t="shared" si="1"/>
        <v>XGBoost</v>
      </c>
      <c r="E716" s="4">
        <f t="shared" si="2"/>
        <v>312</v>
      </c>
      <c r="F716" s="4">
        <f t="shared" si="3"/>
        <v>109.7777778</v>
      </c>
      <c r="G716" s="4">
        <f t="shared" si="4"/>
        <v>312</v>
      </c>
      <c r="H716" s="4" t="str">
        <f t="shared" si="5"/>
        <v>Binh thuong</v>
      </c>
    </row>
    <row r="717" ht="14.25" customHeight="1">
      <c r="A717" s="4" t="s">
        <v>733</v>
      </c>
      <c r="B717" s="4">
        <v>1820.0</v>
      </c>
      <c r="C717" s="4" t="s">
        <v>300</v>
      </c>
      <c r="D717" s="4" t="str">
        <f t="shared" si="1"/>
        <v>XGBoost</v>
      </c>
      <c r="E717" s="4">
        <f t="shared" si="2"/>
        <v>312</v>
      </c>
      <c r="F717" s="4">
        <f t="shared" si="3"/>
        <v>109.7777778</v>
      </c>
      <c r="G717" s="4">
        <f t="shared" si="4"/>
        <v>312</v>
      </c>
      <c r="H717" s="4" t="str">
        <f t="shared" si="5"/>
        <v>Binh thuong</v>
      </c>
    </row>
    <row r="718" ht="14.25" customHeight="1">
      <c r="A718" s="4" t="s">
        <v>734</v>
      </c>
      <c r="B718" s="4">
        <v>1807.0</v>
      </c>
      <c r="C718" s="4" t="s">
        <v>300</v>
      </c>
      <c r="D718" s="4" t="str">
        <f t="shared" si="1"/>
        <v>XGBoost</v>
      </c>
      <c r="E718" s="4">
        <f t="shared" si="2"/>
        <v>309.7714286</v>
      </c>
      <c r="F718" s="4">
        <f t="shared" si="3"/>
        <v>108.9936508</v>
      </c>
      <c r="G718" s="4">
        <f t="shared" si="4"/>
        <v>310</v>
      </c>
      <c r="H718" s="4" t="str">
        <f t="shared" si="5"/>
        <v>Binh thuong</v>
      </c>
    </row>
    <row r="719" ht="14.25" customHeight="1">
      <c r="A719" s="4" t="s">
        <v>735</v>
      </c>
      <c r="B719" s="4">
        <v>1767.0</v>
      </c>
      <c r="C719" s="4" t="s">
        <v>300</v>
      </c>
      <c r="D719" s="4" t="str">
        <f t="shared" si="1"/>
        <v>XGBoost</v>
      </c>
      <c r="E719" s="4">
        <f t="shared" si="2"/>
        <v>302.9142857</v>
      </c>
      <c r="F719" s="4">
        <f t="shared" si="3"/>
        <v>106.5809524</v>
      </c>
      <c r="G719" s="4">
        <f t="shared" si="4"/>
        <v>303</v>
      </c>
      <c r="H719" s="4" t="str">
        <f t="shared" si="5"/>
        <v>Binh thuong</v>
      </c>
    </row>
    <row r="720" ht="14.25" customHeight="1">
      <c r="A720" s="4" t="s">
        <v>736</v>
      </c>
      <c r="B720" s="4">
        <v>1762.0</v>
      </c>
      <c r="C720" s="4" t="s">
        <v>300</v>
      </c>
      <c r="D720" s="4" t="str">
        <f t="shared" si="1"/>
        <v>XGBoost</v>
      </c>
      <c r="E720" s="4">
        <f t="shared" si="2"/>
        <v>302.0571429</v>
      </c>
      <c r="F720" s="4">
        <f t="shared" si="3"/>
        <v>106.2793651</v>
      </c>
      <c r="G720" s="4">
        <f t="shared" si="4"/>
        <v>302</v>
      </c>
      <c r="H720" s="4" t="str">
        <f t="shared" si="5"/>
        <v>Binh thuong</v>
      </c>
    </row>
    <row r="721" ht="14.25" customHeight="1">
      <c r="A721" s="4" t="s">
        <v>737</v>
      </c>
      <c r="B721" s="4">
        <v>1756.0</v>
      </c>
      <c r="C721" s="4" t="s">
        <v>300</v>
      </c>
      <c r="D721" s="4" t="str">
        <f t="shared" si="1"/>
        <v>XGBoost</v>
      </c>
      <c r="E721" s="4">
        <f t="shared" si="2"/>
        <v>301.0285714</v>
      </c>
      <c r="F721" s="4">
        <f t="shared" si="3"/>
        <v>105.9174603</v>
      </c>
      <c r="G721" s="4">
        <f t="shared" si="4"/>
        <v>301</v>
      </c>
      <c r="H721" s="4" t="str">
        <f t="shared" si="5"/>
        <v>Binh thuong</v>
      </c>
    </row>
    <row r="722" ht="14.25" customHeight="1">
      <c r="A722" s="4" t="s">
        <v>738</v>
      </c>
      <c r="B722" s="4">
        <v>1698.0</v>
      </c>
      <c r="C722" s="4" t="s">
        <v>300</v>
      </c>
      <c r="D722" s="4" t="str">
        <f t="shared" si="1"/>
        <v>XGBoost</v>
      </c>
      <c r="E722" s="4">
        <f t="shared" si="2"/>
        <v>291.0857143</v>
      </c>
      <c r="F722" s="4">
        <f t="shared" si="3"/>
        <v>102.4190476</v>
      </c>
      <c r="G722" s="4">
        <f t="shared" si="4"/>
        <v>291</v>
      </c>
      <c r="H722" s="4" t="str">
        <f t="shared" si="5"/>
        <v>Binh thuong</v>
      </c>
    </row>
    <row r="723" ht="14.25" customHeight="1">
      <c r="A723" s="4" t="s">
        <v>739</v>
      </c>
      <c r="B723" s="4">
        <v>1692.0</v>
      </c>
      <c r="C723" s="4" t="s">
        <v>300</v>
      </c>
      <c r="D723" s="4" t="str">
        <f t="shared" si="1"/>
        <v>XGBoost</v>
      </c>
      <c r="E723" s="4">
        <f t="shared" si="2"/>
        <v>290.0571429</v>
      </c>
      <c r="F723" s="4">
        <f t="shared" si="3"/>
        <v>102.0571429</v>
      </c>
      <c r="G723" s="4">
        <f t="shared" si="4"/>
        <v>290</v>
      </c>
      <c r="H723" s="4" t="str">
        <f t="shared" si="5"/>
        <v>Binh thuong</v>
      </c>
    </row>
    <row r="724" ht="14.25" customHeight="1">
      <c r="A724" s="4" t="s">
        <v>740</v>
      </c>
      <c r="B724" s="4">
        <v>1689.0</v>
      </c>
      <c r="C724" s="4" t="s">
        <v>300</v>
      </c>
      <c r="D724" s="4" t="str">
        <f t="shared" si="1"/>
        <v>XGBoost</v>
      </c>
      <c r="E724" s="4">
        <f t="shared" si="2"/>
        <v>289.5428571</v>
      </c>
      <c r="F724" s="4">
        <f t="shared" si="3"/>
        <v>101.8761905</v>
      </c>
      <c r="G724" s="4">
        <f t="shared" si="4"/>
        <v>290</v>
      </c>
      <c r="H724" s="4" t="str">
        <f t="shared" si="5"/>
        <v>Binh thuong</v>
      </c>
    </row>
    <row r="725" ht="14.25" customHeight="1">
      <c r="A725" s="4" t="s">
        <v>741</v>
      </c>
      <c r="B725" s="4">
        <v>1673.0</v>
      </c>
      <c r="C725" s="4" t="s">
        <v>300</v>
      </c>
      <c r="D725" s="4" t="str">
        <f t="shared" si="1"/>
        <v>XGBoost</v>
      </c>
      <c r="E725" s="4">
        <f t="shared" si="2"/>
        <v>286.8</v>
      </c>
      <c r="F725" s="4">
        <f t="shared" si="3"/>
        <v>100.9111111</v>
      </c>
      <c r="G725" s="4">
        <f t="shared" si="4"/>
        <v>287</v>
      </c>
      <c r="H725" s="4" t="str">
        <f t="shared" si="5"/>
        <v>Binh thuong</v>
      </c>
    </row>
    <row r="726" ht="14.25" customHeight="1">
      <c r="A726" s="4" t="s">
        <v>742</v>
      </c>
      <c r="B726" s="4">
        <v>1628.0</v>
      </c>
      <c r="C726" s="4" t="s">
        <v>300</v>
      </c>
      <c r="D726" s="4" t="str">
        <f t="shared" si="1"/>
        <v>XGBoost</v>
      </c>
      <c r="E726" s="4">
        <f t="shared" si="2"/>
        <v>279.0857143</v>
      </c>
      <c r="F726" s="4">
        <f t="shared" si="3"/>
        <v>98.1968254</v>
      </c>
      <c r="G726" s="4">
        <f t="shared" si="4"/>
        <v>279</v>
      </c>
      <c r="H726" s="4" t="str">
        <f t="shared" si="5"/>
        <v>Binh thuong</v>
      </c>
    </row>
    <row r="727" ht="14.25" customHeight="1">
      <c r="A727" s="4" t="s">
        <v>743</v>
      </c>
      <c r="B727" s="4">
        <v>1607.0</v>
      </c>
      <c r="C727" s="4" t="s">
        <v>300</v>
      </c>
      <c r="D727" s="4" t="str">
        <f t="shared" si="1"/>
        <v>XGBoost</v>
      </c>
      <c r="E727" s="4">
        <f t="shared" si="2"/>
        <v>275.4857143</v>
      </c>
      <c r="F727" s="4">
        <f t="shared" si="3"/>
        <v>96.93015873</v>
      </c>
      <c r="G727" s="4">
        <f t="shared" si="4"/>
        <v>275</v>
      </c>
      <c r="H727" s="4" t="str">
        <f t="shared" si="5"/>
        <v>Binh thuong</v>
      </c>
    </row>
    <row r="728" ht="14.25" customHeight="1">
      <c r="A728" s="4" t="s">
        <v>744</v>
      </c>
      <c r="B728" s="4">
        <v>1563.0</v>
      </c>
      <c r="C728" s="4" t="s">
        <v>300</v>
      </c>
      <c r="D728" s="4" t="str">
        <f t="shared" si="1"/>
        <v>XGBoost</v>
      </c>
      <c r="E728" s="4">
        <f t="shared" si="2"/>
        <v>267.9428571</v>
      </c>
      <c r="F728" s="4">
        <f t="shared" si="3"/>
        <v>94.27619048</v>
      </c>
      <c r="G728" s="4">
        <f t="shared" si="4"/>
        <v>268</v>
      </c>
      <c r="H728" s="4" t="str">
        <f t="shared" si="5"/>
        <v>Binh thuong</v>
      </c>
    </row>
    <row r="729" ht="14.25" customHeight="1">
      <c r="A729" s="4" t="s">
        <v>745</v>
      </c>
      <c r="B729" s="4">
        <v>1518.0</v>
      </c>
      <c r="C729" s="4" t="s">
        <v>300</v>
      </c>
      <c r="D729" s="4" t="str">
        <f t="shared" si="1"/>
        <v>XGBoost</v>
      </c>
      <c r="E729" s="4">
        <f t="shared" si="2"/>
        <v>260.2285714</v>
      </c>
      <c r="F729" s="4">
        <f t="shared" si="3"/>
        <v>91.56190476</v>
      </c>
      <c r="G729" s="4">
        <f t="shared" si="4"/>
        <v>260</v>
      </c>
      <c r="H729" s="4" t="str">
        <f t="shared" si="5"/>
        <v>Binh thuong</v>
      </c>
    </row>
    <row r="730" ht="14.25" customHeight="1">
      <c r="A730" s="4" t="s">
        <v>746</v>
      </c>
      <c r="B730" s="4">
        <v>1492.0</v>
      </c>
      <c r="C730" s="4" t="s">
        <v>300</v>
      </c>
      <c r="D730" s="4" t="str">
        <f t="shared" si="1"/>
        <v>XGBoost</v>
      </c>
      <c r="E730" s="4">
        <f t="shared" si="2"/>
        <v>255.7714286</v>
      </c>
      <c r="F730" s="4">
        <f t="shared" si="3"/>
        <v>89.99365079</v>
      </c>
      <c r="G730" s="4">
        <f t="shared" si="4"/>
        <v>256</v>
      </c>
      <c r="H730" s="4" t="str">
        <f t="shared" si="5"/>
        <v>Binh thuong</v>
      </c>
    </row>
    <row r="731" ht="14.25" customHeight="1">
      <c r="A731" s="4" t="s">
        <v>747</v>
      </c>
      <c r="B731" s="4">
        <v>1485.0</v>
      </c>
      <c r="C731" s="4" t="s">
        <v>300</v>
      </c>
      <c r="D731" s="4" t="str">
        <f t="shared" si="1"/>
        <v>XGBoost</v>
      </c>
      <c r="E731" s="4">
        <f t="shared" si="2"/>
        <v>254.5714286</v>
      </c>
      <c r="F731" s="4">
        <f t="shared" si="3"/>
        <v>89.57142857</v>
      </c>
      <c r="G731" s="4">
        <f t="shared" si="4"/>
        <v>255</v>
      </c>
      <c r="H731" s="4" t="str">
        <f t="shared" si="5"/>
        <v>Binh thuong</v>
      </c>
    </row>
    <row r="732" ht="14.25" customHeight="1">
      <c r="A732" s="4" t="s">
        <v>748</v>
      </c>
      <c r="B732" s="4">
        <v>1479.0</v>
      </c>
      <c r="C732" s="4" t="s">
        <v>300</v>
      </c>
      <c r="D732" s="4" t="str">
        <f t="shared" si="1"/>
        <v>XGBoost</v>
      </c>
      <c r="E732" s="4">
        <f t="shared" si="2"/>
        <v>253.5428571</v>
      </c>
      <c r="F732" s="4">
        <f t="shared" si="3"/>
        <v>89.20952381</v>
      </c>
      <c r="G732" s="4">
        <f t="shared" si="4"/>
        <v>254</v>
      </c>
      <c r="H732" s="4" t="str">
        <f t="shared" si="5"/>
        <v>Binh thuong</v>
      </c>
    </row>
    <row r="733" ht="14.25" customHeight="1">
      <c r="A733" s="4" t="s">
        <v>749</v>
      </c>
      <c r="B733" s="4">
        <v>1450.0</v>
      </c>
      <c r="C733" s="4" t="s">
        <v>300</v>
      </c>
      <c r="D733" s="4" t="str">
        <f t="shared" si="1"/>
        <v>XGBoost</v>
      </c>
      <c r="E733" s="4">
        <f t="shared" si="2"/>
        <v>248.5714286</v>
      </c>
      <c r="F733" s="4">
        <f t="shared" si="3"/>
        <v>87.46031746</v>
      </c>
      <c r="G733" s="4">
        <f t="shared" si="4"/>
        <v>249</v>
      </c>
      <c r="H733" s="4" t="str">
        <f t="shared" si="5"/>
        <v>Binh thuong</v>
      </c>
    </row>
    <row r="734" ht="14.25" customHeight="1">
      <c r="A734" s="4" t="s">
        <v>750</v>
      </c>
      <c r="B734" s="4">
        <v>1434.0</v>
      </c>
      <c r="C734" s="4" t="s">
        <v>300</v>
      </c>
      <c r="D734" s="4" t="str">
        <f t="shared" si="1"/>
        <v>XGBoost</v>
      </c>
      <c r="E734" s="4">
        <f t="shared" si="2"/>
        <v>245.8285714</v>
      </c>
      <c r="F734" s="4">
        <f t="shared" si="3"/>
        <v>86.4952381</v>
      </c>
      <c r="G734" s="4">
        <f t="shared" si="4"/>
        <v>246</v>
      </c>
      <c r="H734" s="4" t="str">
        <f t="shared" si="5"/>
        <v>Binh thuong</v>
      </c>
    </row>
    <row r="735" ht="14.25" customHeight="1">
      <c r="A735" s="4" t="s">
        <v>751</v>
      </c>
      <c r="B735" s="4">
        <v>1410.0</v>
      </c>
      <c r="C735" s="4" t="s">
        <v>300</v>
      </c>
      <c r="D735" s="4" t="str">
        <f t="shared" si="1"/>
        <v>XGBoost</v>
      </c>
      <c r="E735" s="4">
        <f t="shared" si="2"/>
        <v>241.7142857</v>
      </c>
      <c r="F735" s="4">
        <f t="shared" si="3"/>
        <v>85.04761905</v>
      </c>
      <c r="G735" s="4">
        <f t="shared" si="4"/>
        <v>242</v>
      </c>
      <c r="H735" s="4" t="str">
        <f t="shared" si="5"/>
        <v>Binh thuong</v>
      </c>
    </row>
    <row r="736" ht="14.25" customHeight="1">
      <c r="A736" s="4" t="s">
        <v>752</v>
      </c>
      <c r="B736" s="4">
        <v>1396.0</v>
      </c>
      <c r="C736" s="4" t="s">
        <v>300</v>
      </c>
      <c r="D736" s="4" t="str">
        <f t="shared" si="1"/>
        <v>XGBoost</v>
      </c>
      <c r="E736" s="4">
        <f t="shared" si="2"/>
        <v>239.3142857</v>
      </c>
      <c r="F736" s="4">
        <f t="shared" si="3"/>
        <v>84.2031746</v>
      </c>
      <c r="G736" s="4">
        <f t="shared" si="4"/>
        <v>239</v>
      </c>
      <c r="H736" s="4" t="str">
        <f t="shared" si="5"/>
        <v>Binh thuong</v>
      </c>
    </row>
    <row r="737" ht="14.25" customHeight="1">
      <c r="A737" s="4" t="s">
        <v>753</v>
      </c>
      <c r="B737" s="4">
        <v>1383.0</v>
      </c>
      <c r="C737" s="4" t="s">
        <v>300</v>
      </c>
      <c r="D737" s="4" t="str">
        <f t="shared" si="1"/>
        <v>XGBoost</v>
      </c>
      <c r="E737" s="4">
        <f t="shared" si="2"/>
        <v>237.0857143</v>
      </c>
      <c r="F737" s="4">
        <f t="shared" si="3"/>
        <v>83.41904762</v>
      </c>
      <c r="G737" s="4">
        <f t="shared" si="4"/>
        <v>237</v>
      </c>
      <c r="H737" s="4" t="str">
        <f t="shared" si="5"/>
        <v>Binh thuong</v>
      </c>
    </row>
    <row r="738" ht="14.25" customHeight="1">
      <c r="A738" s="4" t="s">
        <v>754</v>
      </c>
      <c r="B738" s="4">
        <v>1377.0</v>
      </c>
      <c r="C738" s="4" t="s">
        <v>300</v>
      </c>
      <c r="D738" s="4" t="str">
        <f t="shared" si="1"/>
        <v>XGBoost</v>
      </c>
      <c r="E738" s="4">
        <f t="shared" si="2"/>
        <v>236.0571429</v>
      </c>
      <c r="F738" s="4">
        <f t="shared" si="3"/>
        <v>83.05714286</v>
      </c>
      <c r="G738" s="4">
        <f t="shared" si="4"/>
        <v>236</v>
      </c>
      <c r="H738" s="4" t="str">
        <f t="shared" si="5"/>
        <v>Binh thuong</v>
      </c>
    </row>
    <row r="739" ht="14.25" customHeight="1">
      <c r="A739" s="4" t="s">
        <v>755</v>
      </c>
      <c r="B739" s="4">
        <v>1345.0</v>
      </c>
      <c r="C739" s="4" t="s">
        <v>300</v>
      </c>
      <c r="D739" s="4" t="str">
        <f t="shared" si="1"/>
        <v>XGBoost</v>
      </c>
      <c r="E739" s="4">
        <f t="shared" si="2"/>
        <v>230.5714286</v>
      </c>
      <c r="F739" s="4">
        <f t="shared" si="3"/>
        <v>81.12698413</v>
      </c>
      <c r="G739" s="4">
        <f t="shared" si="4"/>
        <v>231</v>
      </c>
      <c r="H739" s="4" t="str">
        <f t="shared" si="5"/>
        <v>Binh thuong</v>
      </c>
    </row>
    <row r="740" ht="14.25" customHeight="1">
      <c r="A740" s="4" t="s">
        <v>756</v>
      </c>
      <c r="B740" s="4">
        <v>1327.0</v>
      </c>
      <c r="C740" s="4" t="s">
        <v>300</v>
      </c>
      <c r="D740" s="4" t="str">
        <f t="shared" si="1"/>
        <v>XGBoost</v>
      </c>
      <c r="E740" s="4">
        <f t="shared" si="2"/>
        <v>227.4857143</v>
      </c>
      <c r="F740" s="4">
        <f t="shared" si="3"/>
        <v>80.04126984</v>
      </c>
      <c r="G740" s="4">
        <f t="shared" si="4"/>
        <v>227</v>
      </c>
      <c r="H740" s="4" t="str">
        <f t="shared" si="5"/>
        <v>Binh thuong</v>
      </c>
    </row>
    <row r="741" ht="14.25" customHeight="1">
      <c r="A741" s="4" t="s">
        <v>757</v>
      </c>
      <c r="B741" s="4">
        <v>1302.0</v>
      </c>
      <c r="C741" s="4" t="s">
        <v>300</v>
      </c>
      <c r="D741" s="4" t="str">
        <f t="shared" si="1"/>
        <v>XGBoost</v>
      </c>
      <c r="E741" s="4">
        <f t="shared" si="2"/>
        <v>223.2</v>
      </c>
      <c r="F741" s="4">
        <f t="shared" si="3"/>
        <v>78.53333333</v>
      </c>
      <c r="G741" s="4">
        <f t="shared" si="4"/>
        <v>223</v>
      </c>
      <c r="H741" s="4" t="str">
        <f t="shared" si="5"/>
        <v>Binh thuong</v>
      </c>
    </row>
    <row r="742" ht="14.25" customHeight="1">
      <c r="A742" s="4" t="s">
        <v>758</v>
      </c>
      <c r="B742" s="4">
        <v>1294.0</v>
      </c>
      <c r="C742" s="4" t="s">
        <v>300</v>
      </c>
      <c r="D742" s="4" t="str">
        <f t="shared" si="1"/>
        <v>XGBoost</v>
      </c>
      <c r="E742" s="4">
        <f t="shared" si="2"/>
        <v>221.8285714</v>
      </c>
      <c r="F742" s="4">
        <f t="shared" si="3"/>
        <v>78.05079365</v>
      </c>
      <c r="G742" s="4">
        <f t="shared" si="4"/>
        <v>222</v>
      </c>
      <c r="H742" s="4" t="str">
        <f t="shared" si="5"/>
        <v>Binh thuong</v>
      </c>
    </row>
    <row r="743" ht="14.25" customHeight="1">
      <c r="A743" s="4" t="s">
        <v>759</v>
      </c>
      <c r="B743" s="4">
        <v>1292.0</v>
      </c>
      <c r="C743" s="4" t="s">
        <v>300</v>
      </c>
      <c r="D743" s="4" t="str">
        <f t="shared" si="1"/>
        <v>XGBoost</v>
      </c>
      <c r="E743" s="4">
        <f t="shared" si="2"/>
        <v>221.4857143</v>
      </c>
      <c r="F743" s="4">
        <f t="shared" si="3"/>
        <v>77.93015873</v>
      </c>
      <c r="G743" s="4">
        <f t="shared" si="4"/>
        <v>221</v>
      </c>
      <c r="H743" s="4" t="str">
        <f t="shared" si="5"/>
        <v>Binh thuong</v>
      </c>
    </row>
    <row r="744" ht="14.25" customHeight="1">
      <c r="A744" s="4" t="s">
        <v>760</v>
      </c>
      <c r="B744" s="4">
        <v>1291.0</v>
      </c>
      <c r="C744" s="4" t="s">
        <v>300</v>
      </c>
      <c r="D744" s="4" t="str">
        <f t="shared" si="1"/>
        <v>XGBoost</v>
      </c>
      <c r="E744" s="4">
        <f t="shared" si="2"/>
        <v>221.3142857</v>
      </c>
      <c r="F744" s="4">
        <f t="shared" si="3"/>
        <v>77.86984127</v>
      </c>
      <c r="G744" s="4">
        <f t="shared" si="4"/>
        <v>221</v>
      </c>
      <c r="H744" s="4" t="str">
        <f t="shared" si="5"/>
        <v>Binh thuong</v>
      </c>
    </row>
    <row r="745" ht="14.25" customHeight="1">
      <c r="A745" s="4" t="s">
        <v>761</v>
      </c>
      <c r="B745" s="4">
        <v>1272.0</v>
      </c>
      <c r="C745" s="4" t="s">
        <v>300</v>
      </c>
      <c r="D745" s="4" t="str">
        <f t="shared" si="1"/>
        <v>XGBoost</v>
      </c>
      <c r="E745" s="4">
        <f t="shared" si="2"/>
        <v>218.0571429</v>
      </c>
      <c r="F745" s="4">
        <f t="shared" si="3"/>
        <v>76.72380952</v>
      </c>
      <c r="G745" s="4">
        <f t="shared" si="4"/>
        <v>218</v>
      </c>
      <c r="H745" s="4" t="str">
        <f t="shared" si="5"/>
        <v>Binh thuong</v>
      </c>
    </row>
    <row r="746" ht="14.25" customHeight="1">
      <c r="A746" s="4" t="s">
        <v>762</v>
      </c>
      <c r="B746" s="4">
        <v>1262.0</v>
      </c>
      <c r="C746" s="4" t="s">
        <v>300</v>
      </c>
      <c r="D746" s="4" t="str">
        <f t="shared" si="1"/>
        <v>XGBoost</v>
      </c>
      <c r="E746" s="4">
        <f t="shared" si="2"/>
        <v>216.3428571</v>
      </c>
      <c r="F746" s="4">
        <f t="shared" si="3"/>
        <v>76.12063492</v>
      </c>
      <c r="G746" s="4">
        <f t="shared" si="4"/>
        <v>216</v>
      </c>
      <c r="H746" s="4" t="str">
        <f t="shared" si="5"/>
        <v>Binh thuong</v>
      </c>
    </row>
    <row r="747" ht="14.25" customHeight="1">
      <c r="A747" s="4" t="s">
        <v>763</v>
      </c>
      <c r="B747" s="4">
        <v>1261.0</v>
      </c>
      <c r="C747" s="4" t="s">
        <v>300</v>
      </c>
      <c r="D747" s="4" t="str">
        <f t="shared" si="1"/>
        <v>XGBoost</v>
      </c>
      <c r="E747" s="4">
        <f t="shared" si="2"/>
        <v>216.1714286</v>
      </c>
      <c r="F747" s="4">
        <f t="shared" si="3"/>
        <v>76.06031746</v>
      </c>
      <c r="G747" s="4">
        <f t="shared" si="4"/>
        <v>216</v>
      </c>
      <c r="H747" s="4" t="str">
        <f t="shared" si="5"/>
        <v>Binh thuong</v>
      </c>
    </row>
    <row r="748" ht="14.25" customHeight="1">
      <c r="A748" s="4" t="s">
        <v>764</v>
      </c>
      <c r="B748" s="4">
        <v>1250.0</v>
      </c>
      <c r="C748" s="4" t="s">
        <v>300</v>
      </c>
      <c r="D748" s="4" t="str">
        <f t="shared" si="1"/>
        <v>XGBoost</v>
      </c>
      <c r="E748" s="4">
        <f t="shared" si="2"/>
        <v>214.2857143</v>
      </c>
      <c r="F748" s="4">
        <f t="shared" si="3"/>
        <v>75.3968254</v>
      </c>
      <c r="G748" s="4">
        <f t="shared" si="4"/>
        <v>214</v>
      </c>
      <c r="H748" s="4" t="str">
        <f t="shared" si="5"/>
        <v>Binh thuong</v>
      </c>
    </row>
    <row r="749" ht="14.25" customHeight="1">
      <c r="A749" s="4" t="s">
        <v>765</v>
      </c>
      <c r="B749" s="4">
        <v>1244.0</v>
      </c>
      <c r="C749" s="4" t="s">
        <v>300</v>
      </c>
      <c r="D749" s="4" t="str">
        <f t="shared" si="1"/>
        <v>XGBoost</v>
      </c>
      <c r="E749" s="4">
        <f t="shared" si="2"/>
        <v>213.2571429</v>
      </c>
      <c r="F749" s="4">
        <f t="shared" si="3"/>
        <v>75.03492063</v>
      </c>
      <c r="G749" s="4">
        <f t="shared" si="4"/>
        <v>213</v>
      </c>
      <c r="H749" s="4" t="str">
        <f t="shared" si="5"/>
        <v>Binh thuong</v>
      </c>
    </row>
    <row r="750" ht="14.25" customHeight="1">
      <c r="A750" s="4" t="s">
        <v>766</v>
      </c>
      <c r="B750" s="4">
        <v>1240.0</v>
      </c>
      <c r="C750" s="4" t="s">
        <v>300</v>
      </c>
      <c r="D750" s="4" t="str">
        <f t="shared" si="1"/>
        <v>XGBoost</v>
      </c>
      <c r="E750" s="4">
        <f t="shared" si="2"/>
        <v>212.5714286</v>
      </c>
      <c r="F750" s="4">
        <f t="shared" si="3"/>
        <v>74.79365079</v>
      </c>
      <c r="G750" s="4">
        <f t="shared" si="4"/>
        <v>213</v>
      </c>
      <c r="H750" s="4" t="str">
        <f t="shared" si="5"/>
        <v>Binh thuong</v>
      </c>
    </row>
    <row r="751" ht="14.25" customHeight="1">
      <c r="A751" s="4" t="s">
        <v>767</v>
      </c>
      <c r="B751" s="4">
        <v>1211.0</v>
      </c>
      <c r="C751" s="4" t="s">
        <v>300</v>
      </c>
      <c r="D751" s="4" t="str">
        <f t="shared" si="1"/>
        <v>XGBoost</v>
      </c>
      <c r="E751" s="4">
        <f t="shared" si="2"/>
        <v>207.6</v>
      </c>
      <c r="F751" s="4">
        <f t="shared" si="3"/>
        <v>73.04444444</v>
      </c>
      <c r="G751" s="4">
        <f t="shared" si="4"/>
        <v>208</v>
      </c>
      <c r="H751" s="4" t="str">
        <f t="shared" si="5"/>
        <v>Binh thuong</v>
      </c>
    </row>
    <row r="752" ht="14.25" customHeight="1">
      <c r="A752" s="4" t="s">
        <v>768</v>
      </c>
      <c r="B752" s="4">
        <v>1196.0</v>
      </c>
      <c r="C752" s="4" t="s">
        <v>300</v>
      </c>
      <c r="D752" s="4" t="str">
        <f t="shared" si="1"/>
        <v>XGBoost</v>
      </c>
      <c r="E752" s="4">
        <f t="shared" si="2"/>
        <v>205.0285714</v>
      </c>
      <c r="F752" s="4">
        <f t="shared" si="3"/>
        <v>72.13968254</v>
      </c>
      <c r="G752" s="4">
        <f t="shared" si="4"/>
        <v>205</v>
      </c>
      <c r="H752" s="4" t="str">
        <f t="shared" si="5"/>
        <v>Binh thuong</v>
      </c>
    </row>
    <row r="753" ht="14.25" customHeight="1">
      <c r="A753" s="4" t="s">
        <v>769</v>
      </c>
      <c r="B753" s="4">
        <v>1179.0</v>
      </c>
      <c r="C753" s="4" t="s">
        <v>300</v>
      </c>
      <c r="D753" s="4" t="str">
        <f t="shared" si="1"/>
        <v>XGBoost</v>
      </c>
      <c r="E753" s="4">
        <f t="shared" si="2"/>
        <v>202.1142857</v>
      </c>
      <c r="F753" s="4">
        <f t="shared" si="3"/>
        <v>71.11428571</v>
      </c>
      <c r="G753" s="4">
        <f t="shared" si="4"/>
        <v>202</v>
      </c>
      <c r="H753" s="4" t="str">
        <f t="shared" si="5"/>
        <v>Binh thuong</v>
      </c>
    </row>
    <row r="754" ht="14.25" customHeight="1">
      <c r="A754" s="4" t="s">
        <v>770</v>
      </c>
      <c r="B754" s="4">
        <v>1120.0</v>
      </c>
      <c r="C754" s="4" t="s">
        <v>300</v>
      </c>
      <c r="D754" s="4" t="str">
        <f t="shared" si="1"/>
        <v>XGBoost</v>
      </c>
      <c r="E754" s="4">
        <f t="shared" si="2"/>
        <v>192</v>
      </c>
      <c r="F754" s="4">
        <f t="shared" si="3"/>
        <v>67.55555556</v>
      </c>
      <c r="G754" s="4">
        <f t="shared" si="4"/>
        <v>192</v>
      </c>
      <c r="H754" s="4" t="str">
        <f t="shared" si="5"/>
        <v>Binh thuong</v>
      </c>
    </row>
    <row r="755" ht="14.25" customHeight="1">
      <c r="A755" s="4" t="s">
        <v>771</v>
      </c>
      <c r="B755" s="4">
        <v>1114.0</v>
      </c>
      <c r="C755" s="4" t="s">
        <v>300</v>
      </c>
      <c r="D755" s="4" t="str">
        <f t="shared" si="1"/>
        <v>XGBoost</v>
      </c>
      <c r="E755" s="4">
        <f t="shared" si="2"/>
        <v>190.9714286</v>
      </c>
      <c r="F755" s="4">
        <f t="shared" si="3"/>
        <v>67.19365079</v>
      </c>
      <c r="G755" s="4">
        <f t="shared" si="4"/>
        <v>191</v>
      </c>
      <c r="H755" s="4" t="str">
        <f t="shared" si="5"/>
        <v>Binh thuong</v>
      </c>
    </row>
    <row r="756" ht="14.25" customHeight="1">
      <c r="A756" s="4" t="s">
        <v>772</v>
      </c>
      <c r="B756" s="4">
        <v>1104.0</v>
      </c>
      <c r="C756" s="4" t="s">
        <v>300</v>
      </c>
      <c r="D756" s="4" t="str">
        <f t="shared" si="1"/>
        <v>XGBoost</v>
      </c>
      <c r="E756" s="4">
        <f t="shared" si="2"/>
        <v>189.2571429</v>
      </c>
      <c r="F756" s="4">
        <f t="shared" si="3"/>
        <v>66.59047619</v>
      </c>
      <c r="G756" s="4">
        <f t="shared" si="4"/>
        <v>189</v>
      </c>
      <c r="H756" s="4" t="str">
        <f t="shared" si="5"/>
        <v>Binh thuong</v>
      </c>
    </row>
    <row r="757" ht="14.25" customHeight="1">
      <c r="A757" s="4" t="s">
        <v>773</v>
      </c>
      <c r="B757" s="4">
        <v>1103.0</v>
      </c>
      <c r="C757" s="4" t="s">
        <v>300</v>
      </c>
      <c r="D757" s="4" t="str">
        <f t="shared" si="1"/>
        <v>XGBoost</v>
      </c>
      <c r="E757" s="4">
        <f t="shared" si="2"/>
        <v>189.0857143</v>
      </c>
      <c r="F757" s="4">
        <f t="shared" si="3"/>
        <v>66.53015873</v>
      </c>
      <c r="G757" s="4">
        <f t="shared" si="4"/>
        <v>189</v>
      </c>
      <c r="H757" s="4" t="str">
        <f t="shared" si="5"/>
        <v>Binh thuong</v>
      </c>
    </row>
    <row r="758" ht="14.25" customHeight="1">
      <c r="A758" s="4" t="s">
        <v>774</v>
      </c>
      <c r="B758" s="4">
        <v>1102.0</v>
      </c>
      <c r="C758" s="4" t="s">
        <v>300</v>
      </c>
      <c r="D758" s="4" t="str">
        <f t="shared" si="1"/>
        <v>XGBoost</v>
      </c>
      <c r="E758" s="4">
        <f t="shared" si="2"/>
        <v>188.9142857</v>
      </c>
      <c r="F758" s="4">
        <f t="shared" si="3"/>
        <v>66.46984127</v>
      </c>
      <c r="G758" s="4">
        <f t="shared" si="4"/>
        <v>189</v>
      </c>
      <c r="H758" s="4" t="str">
        <f t="shared" si="5"/>
        <v>Binh thuong</v>
      </c>
    </row>
    <row r="759" ht="14.25" customHeight="1">
      <c r="A759" s="4" t="s">
        <v>775</v>
      </c>
      <c r="B759" s="4">
        <v>1100.0</v>
      </c>
      <c r="C759" s="4" t="s">
        <v>300</v>
      </c>
      <c r="D759" s="4" t="str">
        <f t="shared" si="1"/>
        <v>XGBoost</v>
      </c>
      <c r="E759" s="4">
        <f t="shared" si="2"/>
        <v>188.5714286</v>
      </c>
      <c r="F759" s="4">
        <f t="shared" si="3"/>
        <v>66.34920635</v>
      </c>
      <c r="G759" s="4">
        <f t="shared" si="4"/>
        <v>189</v>
      </c>
      <c r="H759" s="4" t="str">
        <f t="shared" si="5"/>
        <v>Binh thuong</v>
      </c>
    </row>
    <row r="760" ht="14.25" customHeight="1">
      <c r="A760" s="4" t="s">
        <v>776</v>
      </c>
      <c r="B760" s="4">
        <v>1097.0</v>
      </c>
      <c r="C760" s="4" t="s">
        <v>300</v>
      </c>
      <c r="D760" s="4" t="str">
        <f t="shared" si="1"/>
        <v>XGBoost</v>
      </c>
      <c r="E760" s="4">
        <f t="shared" si="2"/>
        <v>188.0571429</v>
      </c>
      <c r="F760" s="4">
        <f t="shared" si="3"/>
        <v>66.16825397</v>
      </c>
      <c r="G760" s="4">
        <f t="shared" si="4"/>
        <v>188</v>
      </c>
      <c r="H760" s="4" t="str">
        <f t="shared" si="5"/>
        <v>Binh thuong</v>
      </c>
    </row>
    <row r="761" ht="14.25" customHeight="1">
      <c r="A761" s="4" t="s">
        <v>777</v>
      </c>
      <c r="B761" s="4">
        <v>1086.0</v>
      </c>
      <c r="C761" s="4" t="s">
        <v>300</v>
      </c>
      <c r="D761" s="4" t="str">
        <f t="shared" si="1"/>
        <v>XGBoost</v>
      </c>
      <c r="E761" s="4">
        <f t="shared" si="2"/>
        <v>186.1714286</v>
      </c>
      <c r="F761" s="4">
        <f t="shared" si="3"/>
        <v>65.5047619</v>
      </c>
      <c r="G761" s="4">
        <f t="shared" si="4"/>
        <v>186</v>
      </c>
      <c r="H761" s="4" t="str">
        <f t="shared" si="5"/>
        <v>Binh thuong</v>
      </c>
    </row>
    <row r="762" ht="14.25" customHeight="1">
      <c r="A762" s="4" t="s">
        <v>778</v>
      </c>
      <c r="B762" s="4">
        <v>1061.0</v>
      </c>
      <c r="C762" s="4" t="s">
        <v>300</v>
      </c>
      <c r="D762" s="4" t="str">
        <f t="shared" si="1"/>
        <v>XGBoost</v>
      </c>
      <c r="E762" s="4">
        <f t="shared" si="2"/>
        <v>181.8857143</v>
      </c>
      <c r="F762" s="4">
        <f t="shared" si="3"/>
        <v>63.9968254</v>
      </c>
      <c r="G762" s="4">
        <f t="shared" si="4"/>
        <v>182</v>
      </c>
      <c r="H762" s="4" t="str">
        <f t="shared" si="5"/>
        <v>Binh thuong</v>
      </c>
    </row>
    <row r="763" ht="14.25" customHeight="1">
      <c r="A763" s="4" t="s">
        <v>779</v>
      </c>
      <c r="B763" s="4">
        <v>1050.0</v>
      </c>
      <c r="C763" s="4" t="s">
        <v>300</v>
      </c>
      <c r="D763" s="4" t="str">
        <f t="shared" si="1"/>
        <v>XGBoost</v>
      </c>
      <c r="E763" s="4">
        <f t="shared" si="2"/>
        <v>180</v>
      </c>
      <c r="F763" s="4">
        <f t="shared" si="3"/>
        <v>63.33333333</v>
      </c>
      <c r="G763" s="4">
        <f t="shared" si="4"/>
        <v>180</v>
      </c>
      <c r="H763" s="4" t="str">
        <f t="shared" si="5"/>
        <v>Binh thuong</v>
      </c>
    </row>
    <row r="764" ht="14.25" customHeight="1">
      <c r="A764" s="4" t="s">
        <v>780</v>
      </c>
      <c r="B764" s="4">
        <v>1048.0</v>
      </c>
      <c r="C764" s="4" t="s">
        <v>300</v>
      </c>
      <c r="D764" s="4" t="str">
        <f t="shared" si="1"/>
        <v>XGBoost</v>
      </c>
      <c r="E764" s="4">
        <f t="shared" si="2"/>
        <v>179.6571429</v>
      </c>
      <c r="F764" s="4">
        <f t="shared" si="3"/>
        <v>63.21269841</v>
      </c>
      <c r="G764" s="4">
        <f t="shared" si="4"/>
        <v>180</v>
      </c>
      <c r="H764" s="4" t="str">
        <f t="shared" si="5"/>
        <v>Binh thuong</v>
      </c>
    </row>
    <row r="765" ht="14.25" customHeight="1">
      <c r="A765" s="4" t="s">
        <v>781</v>
      </c>
      <c r="B765" s="4">
        <v>1032.0</v>
      </c>
      <c r="C765" s="4" t="s">
        <v>300</v>
      </c>
      <c r="D765" s="4" t="str">
        <f t="shared" si="1"/>
        <v>XGBoost</v>
      </c>
      <c r="E765" s="4">
        <f t="shared" si="2"/>
        <v>176.9142857</v>
      </c>
      <c r="F765" s="4">
        <f t="shared" si="3"/>
        <v>62.24761905</v>
      </c>
      <c r="G765" s="4">
        <f t="shared" si="4"/>
        <v>177</v>
      </c>
      <c r="H765" s="4" t="str">
        <f t="shared" si="5"/>
        <v>Binh thuong</v>
      </c>
    </row>
    <row r="766" ht="14.25" customHeight="1">
      <c r="A766" s="4" t="s">
        <v>782</v>
      </c>
      <c r="B766" s="4">
        <v>1008.0</v>
      </c>
      <c r="C766" s="4" t="s">
        <v>300</v>
      </c>
      <c r="D766" s="4" t="str">
        <f t="shared" si="1"/>
        <v>XGBoost</v>
      </c>
      <c r="E766" s="4">
        <f t="shared" si="2"/>
        <v>172.8</v>
      </c>
      <c r="F766" s="4">
        <f t="shared" si="3"/>
        <v>60.8</v>
      </c>
      <c r="G766" s="4">
        <f t="shared" si="4"/>
        <v>173</v>
      </c>
      <c r="H766" s="4" t="str">
        <f t="shared" si="5"/>
        <v>Binh thuong</v>
      </c>
    </row>
    <row r="767" ht="14.25" customHeight="1">
      <c r="A767" s="4" t="s">
        <v>783</v>
      </c>
      <c r="B767" s="4">
        <v>1003.0</v>
      </c>
      <c r="C767" s="4" t="s">
        <v>300</v>
      </c>
      <c r="D767" s="4" t="str">
        <f t="shared" si="1"/>
        <v>XGBoost</v>
      </c>
      <c r="E767" s="4">
        <f t="shared" si="2"/>
        <v>171.9428571</v>
      </c>
      <c r="F767" s="4">
        <f t="shared" si="3"/>
        <v>60.4984127</v>
      </c>
      <c r="G767" s="4">
        <f t="shared" si="4"/>
        <v>172</v>
      </c>
      <c r="H767" s="4" t="str">
        <f t="shared" si="5"/>
        <v>Binh thuong</v>
      </c>
    </row>
    <row r="768" ht="14.25" customHeight="1">
      <c r="A768" s="4" t="s">
        <v>784</v>
      </c>
      <c r="B768" s="4">
        <v>997.0</v>
      </c>
      <c r="C768" s="4" t="s">
        <v>300</v>
      </c>
      <c r="D768" s="4" t="str">
        <f t="shared" si="1"/>
        <v>XGBoost</v>
      </c>
      <c r="E768" s="4">
        <f t="shared" si="2"/>
        <v>170.9142857</v>
      </c>
      <c r="F768" s="4">
        <f t="shared" si="3"/>
        <v>60.13650794</v>
      </c>
      <c r="G768" s="4">
        <f t="shared" si="4"/>
        <v>171</v>
      </c>
      <c r="H768" s="4" t="str">
        <f t="shared" si="5"/>
        <v>Binh thuong</v>
      </c>
    </row>
    <row r="769" ht="14.25" customHeight="1">
      <c r="A769" s="4" t="s">
        <v>785</v>
      </c>
      <c r="B769" s="4">
        <v>993.0</v>
      </c>
      <c r="C769" s="4" t="s">
        <v>300</v>
      </c>
      <c r="D769" s="4" t="str">
        <f t="shared" si="1"/>
        <v>XGBoost</v>
      </c>
      <c r="E769" s="4">
        <f t="shared" si="2"/>
        <v>170.2285714</v>
      </c>
      <c r="F769" s="4">
        <f t="shared" si="3"/>
        <v>59.8952381</v>
      </c>
      <c r="G769" s="4">
        <f t="shared" si="4"/>
        <v>170</v>
      </c>
      <c r="H769" s="4" t="str">
        <f t="shared" si="5"/>
        <v>Binh thuong</v>
      </c>
    </row>
    <row r="770" ht="14.25" customHeight="1">
      <c r="A770" s="4" t="s">
        <v>786</v>
      </c>
      <c r="B770" s="4">
        <v>981.0</v>
      </c>
      <c r="C770" s="4" t="s">
        <v>300</v>
      </c>
      <c r="D770" s="4" t="str">
        <f t="shared" si="1"/>
        <v>XGBoost</v>
      </c>
      <c r="E770" s="4">
        <f t="shared" si="2"/>
        <v>168.1714286</v>
      </c>
      <c r="F770" s="4">
        <f t="shared" si="3"/>
        <v>59.17142857</v>
      </c>
      <c r="G770" s="4">
        <f t="shared" si="4"/>
        <v>168</v>
      </c>
      <c r="H770" s="4" t="str">
        <f t="shared" si="5"/>
        <v>Binh thuong</v>
      </c>
    </row>
    <row r="771" ht="14.25" customHeight="1">
      <c r="A771" s="4" t="s">
        <v>787</v>
      </c>
      <c r="B771" s="4">
        <v>977.0</v>
      </c>
      <c r="C771" s="4" t="s">
        <v>300</v>
      </c>
      <c r="D771" s="4" t="str">
        <f t="shared" si="1"/>
        <v>XGBoost</v>
      </c>
      <c r="E771" s="4">
        <f t="shared" si="2"/>
        <v>167.4857143</v>
      </c>
      <c r="F771" s="4">
        <f t="shared" si="3"/>
        <v>58.93015873</v>
      </c>
      <c r="G771" s="4">
        <f t="shared" si="4"/>
        <v>167</v>
      </c>
      <c r="H771" s="4" t="str">
        <f t="shared" si="5"/>
        <v>Binh thuong</v>
      </c>
    </row>
    <row r="772" ht="14.25" customHeight="1">
      <c r="A772" s="4" t="s">
        <v>788</v>
      </c>
      <c r="B772" s="4">
        <v>952.0</v>
      </c>
      <c r="C772" s="4" t="s">
        <v>300</v>
      </c>
      <c r="D772" s="4" t="str">
        <f t="shared" si="1"/>
        <v>XGBoost</v>
      </c>
      <c r="E772" s="4">
        <f t="shared" si="2"/>
        <v>163.2</v>
      </c>
      <c r="F772" s="4">
        <f t="shared" si="3"/>
        <v>57.42222222</v>
      </c>
      <c r="G772" s="4">
        <f t="shared" si="4"/>
        <v>163</v>
      </c>
      <c r="H772" s="4" t="str">
        <f t="shared" si="5"/>
        <v>Binh thuong</v>
      </c>
    </row>
    <row r="773" ht="14.25" customHeight="1">
      <c r="A773" s="4" t="s">
        <v>789</v>
      </c>
      <c r="B773" s="4">
        <v>947.0</v>
      </c>
      <c r="C773" s="4" t="s">
        <v>300</v>
      </c>
      <c r="D773" s="4" t="str">
        <f t="shared" si="1"/>
        <v>XGBoost</v>
      </c>
      <c r="E773" s="4">
        <f t="shared" si="2"/>
        <v>162.3428571</v>
      </c>
      <c r="F773" s="4">
        <f t="shared" si="3"/>
        <v>57.12063492</v>
      </c>
      <c r="G773" s="4">
        <f t="shared" si="4"/>
        <v>162</v>
      </c>
      <c r="H773" s="4" t="str">
        <f t="shared" si="5"/>
        <v>Binh thuong</v>
      </c>
    </row>
    <row r="774" ht="14.25" customHeight="1">
      <c r="A774" s="4" t="s">
        <v>790</v>
      </c>
      <c r="B774" s="4">
        <v>946.0</v>
      </c>
      <c r="C774" s="4" t="s">
        <v>300</v>
      </c>
      <c r="D774" s="4" t="str">
        <f t="shared" si="1"/>
        <v>XGBoost</v>
      </c>
      <c r="E774" s="4">
        <f t="shared" si="2"/>
        <v>162.1714286</v>
      </c>
      <c r="F774" s="4">
        <f t="shared" si="3"/>
        <v>57.06031746</v>
      </c>
      <c r="G774" s="4">
        <f t="shared" si="4"/>
        <v>162</v>
      </c>
      <c r="H774" s="4" t="str">
        <f t="shared" si="5"/>
        <v>Binh thuong</v>
      </c>
    </row>
    <row r="775" ht="14.25" customHeight="1">
      <c r="A775" s="4" t="s">
        <v>791</v>
      </c>
      <c r="B775" s="4">
        <v>932.0</v>
      </c>
      <c r="C775" s="4" t="s">
        <v>300</v>
      </c>
      <c r="D775" s="4" t="str">
        <f t="shared" si="1"/>
        <v>XGBoost</v>
      </c>
      <c r="E775" s="4">
        <f t="shared" si="2"/>
        <v>159.7714286</v>
      </c>
      <c r="F775" s="4">
        <f t="shared" si="3"/>
        <v>56.21587302</v>
      </c>
      <c r="G775" s="4">
        <f t="shared" si="4"/>
        <v>160</v>
      </c>
      <c r="H775" s="4" t="str">
        <f t="shared" si="5"/>
        <v>Binh thuong</v>
      </c>
    </row>
    <row r="776" ht="14.25" customHeight="1">
      <c r="A776" s="4" t="s">
        <v>792</v>
      </c>
      <c r="B776" s="4">
        <v>926.0</v>
      </c>
      <c r="C776" s="4" t="s">
        <v>300</v>
      </c>
      <c r="D776" s="4" t="str">
        <f t="shared" si="1"/>
        <v>XGBoost</v>
      </c>
      <c r="E776" s="4">
        <f t="shared" si="2"/>
        <v>158.7428571</v>
      </c>
      <c r="F776" s="4">
        <f t="shared" si="3"/>
        <v>55.85396825</v>
      </c>
      <c r="G776" s="4">
        <f t="shared" si="4"/>
        <v>159</v>
      </c>
      <c r="H776" s="4" t="str">
        <f t="shared" si="5"/>
        <v>Binh thuong</v>
      </c>
    </row>
    <row r="777" ht="14.25" customHeight="1">
      <c r="A777" s="4" t="s">
        <v>793</v>
      </c>
      <c r="B777" s="4">
        <v>899.0</v>
      </c>
      <c r="C777" s="4" t="s">
        <v>300</v>
      </c>
      <c r="D777" s="4" t="str">
        <f t="shared" si="1"/>
        <v>XGBoost</v>
      </c>
      <c r="E777" s="4">
        <f t="shared" si="2"/>
        <v>154.1142857</v>
      </c>
      <c r="F777" s="4">
        <f t="shared" si="3"/>
        <v>54.22539683</v>
      </c>
      <c r="G777" s="4">
        <f t="shared" si="4"/>
        <v>154</v>
      </c>
      <c r="H777" s="4" t="str">
        <f t="shared" si="5"/>
        <v>Binh thuong</v>
      </c>
    </row>
    <row r="778" ht="14.25" customHeight="1">
      <c r="A778" s="4" t="s">
        <v>794</v>
      </c>
      <c r="B778" s="4">
        <v>890.0</v>
      </c>
      <c r="C778" s="4" t="s">
        <v>300</v>
      </c>
      <c r="D778" s="4" t="str">
        <f t="shared" si="1"/>
        <v>XGBoost</v>
      </c>
      <c r="E778" s="4">
        <f t="shared" si="2"/>
        <v>152.5714286</v>
      </c>
      <c r="F778" s="4">
        <f t="shared" si="3"/>
        <v>53.68253968</v>
      </c>
      <c r="G778" s="4">
        <f t="shared" si="4"/>
        <v>153</v>
      </c>
      <c r="H778" s="4" t="str">
        <f t="shared" si="5"/>
        <v>Binh thuong</v>
      </c>
    </row>
    <row r="779" ht="14.25" customHeight="1">
      <c r="A779" s="4" t="s">
        <v>795</v>
      </c>
      <c r="B779" s="4">
        <v>888.0</v>
      </c>
      <c r="C779" s="4" t="s">
        <v>300</v>
      </c>
      <c r="D779" s="4" t="str">
        <f t="shared" si="1"/>
        <v>XGBoost</v>
      </c>
      <c r="E779" s="4">
        <f t="shared" si="2"/>
        <v>152.2285714</v>
      </c>
      <c r="F779" s="4">
        <f t="shared" si="3"/>
        <v>53.56190476</v>
      </c>
      <c r="G779" s="4">
        <f t="shared" si="4"/>
        <v>152</v>
      </c>
      <c r="H779" s="4" t="str">
        <f t="shared" si="5"/>
        <v>Binh thuong</v>
      </c>
    </row>
    <row r="780" ht="14.25" customHeight="1">
      <c r="A780" s="4" t="s">
        <v>796</v>
      </c>
      <c r="B780" s="4">
        <v>887.0</v>
      </c>
      <c r="C780" s="4" t="s">
        <v>300</v>
      </c>
      <c r="D780" s="4" t="str">
        <f t="shared" si="1"/>
        <v>XGBoost</v>
      </c>
      <c r="E780" s="4">
        <f t="shared" si="2"/>
        <v>152.0571429</v>
      </c>
      <c r="F780" s="4">
        <f t="shared" si="3"/>
        <v>53.5015873</v>
      </c>
      <c r="G780" s="4">
        <f t="shared" si="4"/>
        <v>152</v>
      </c>
      <c r="H780" s="4" t="str">
        <f t="shared" si="5"/>
        <v>Binh thuong</v>
      </c>
    </row>
    <row r="781" ht="14.25" customHeight="1">
      <c r="A781" s="4" t="s">
        <v>797</v>
      </c>
      <c r="B781" s="4">
        <v>875.0</v>
      </c>
      <c r="C781" s="4" t="s">
        <v>300</v>
      </c>
      <c r="D781" s="4" t="str">
        <f t="shared" si="1"/>
        <v>XGBoost</v>
      </c>
      <c r="E781" s="4">
        <f t="shared" si="2"/>
        <v>150</v>
      </c>
      <c r="F781" s="4">
        <f t="shared" si="3"/>
        <v>52.77777778</v>
      </c>
      <c r="G781" s="4">
        <f t="shared" si="4"/>
        <v>150</v>
      </c>
      <c r="H781" s="4" t="str">
        <f t="shared" si="5"/>
        <v>Binh thuong</v>
      </c>
    </row>
    <row r="782" ht="14.25" customHeight="1">
      <c r="A782" s="4" t="s">
        <v>798</v>
      </c>
      <c r="B782" s="4">
        <v>863.0</v>
      </c>
      <c r="C782" s="4" t="s">
        <v>300</v>
      </c>
      <c r="D782" s="4" t="str">
        <f t="shared" si="1"/>
        <v>XGBoost</v>
      </c>
      <c r="E782" s="4">
        <f t="shared" si="2"/>
        <v>147.9428571</v>
      </c>
      <c r="F782" s="4">
        <f t="shared" si="3"/>
        <v>52.05396825</v>
      </c>
      <c r="G782" s="4">
        <f t="shared" si="4"/>
        <v>148</v>
      </c>
      <c r="H782" s="4" t="str">
        <f t="shared" si="5"/>
        <v>Binh thuong</v>
      </c>
    </row>
    <row r="783" ht="14.25" customHeight="1">
      <c r="A783" s="4" t="s">
        <v>799</v>
      </c>
      <c r="B783" s="4">
        <v>855.0</v>
      </c>
      <c r="C783" s="4" t="s">
        <v>300</v>
      </c>
      <c r="D783" s="4" t="str">
        <f t="shared" si="1"/>
        <v>XGBoost</v>
      </c>
      <c r="E783" s="4">
        <f t="shared" si="2"/>
        <v>146.5714286</v>
      </c>
      <c r="F783" s="4">
        <f t="shared" si="3"/>
        <v>51.57142857</v>
      </c>
      <c r="G783" s="4">
        <f t="shared" si="4"/>
        <v>147</v>
      </c>
      <c r="H783" s="4" t="str">
        <f t="shared" si="5"/>
        <v>Binh thuong</v>
      </c>
    </row>
    <row r="784" ht="14.25" customHeight="1">
      <c r="A784" s="4" t="s">
        <v>800</v>
      </c>
      <c r="B784" s="4">
        <v>842.0</v>
      </c>
      <c r="C784" s="4" t="s">
        <v>300</v>
      </c>
      <c r="D784" s="4" t="str">
        <f t="shared" si="1"/>
        <v>XGBoost</v>
      </c>
      <c r="E784" s="4">
        <f t="shared" si="2"/>
        <v>144.3428571</v>
      </c>
      <c r="F784" s="4">
        <f t="shared" si="3"/>
        <v>50.78730159</v>
      </c>
      <c r="G784" s="4">
        <f t="shared" si="4"/>
        <v>144</v>
      </c>
      <c r="H784" s="4" t="str">
        <f t="shared" si="5"/>
        <v>Binh thuong</v>
      </c>
    </row>
    <row r="785" ht="14.25" customHeight="1">
      <c r="A785" s="4" t="s">
        <v>801</v>
      </c>
      <c r="B785" s="4">
        <v>837.0</v>
      </c>
      <c r="C785" s="4" t="s">
        <v>300</v>
      </c>
      <c r="D785" s="4" t="str">
        <f t="shared" si="1"/>
        <v>XGBoost</v>
      </c>
      <c r="E785" s="4">
        <f t="shared" si="2"/>
        <v>143.4857143</v>
      </c>
      <c r="F785" s="4">
        <f t="shared" si="3"/>
        <v>50.48571429</v>
      </c>
      <c r="G785" s="4">
        <f t="shared" si="4"/>
        <v>143</v>
      </c>
      <c r="H785" s="4" t="str">
        <f t="shared" si="5"/>
        <v>Binh thuong</v>
      </c>
    </row>
    <row r="786" ht="14.25" customHeight="1">
      <c r="A786" s="4" t="s">
        <v>802</v>
      </c>
      <c r="B786" s="4">
        <v>828.0</v>
      </c>
      <c r="C786" s="4" t="s">
        <v>300</v>
      </c>
      <c r="D786" s="4" t="str">
        <f t="shared" si="1"/>
        <v>XGBoost</v>
      </c>
      <c r="E786" s="4">
        <f t="shared" si="2"/>
        <v>141.9428571</v>
      </c>
      <c r="F786" s="4">
        <f t="shared" si="3"/>
        <v>49.94285714</v>
      </c>
      <c r="G786" s="4">
        <f t="shared" si="4"/>
        <v>142</v>
      </c>
      <c r="H786" s="4" t="str">
        <f t="shared" si="5"/>
        <v>Binh thuong</v>
      </c>
    </row>
    <row r="787" ht="14.25" customHeight="1">
      <c r="A787" s="4" t="s">
        <v>803</v>
      </c>
      <c r="B787" s="4">
        <v>819.0</v>
      </c>
      <c r="C787" s="4" t="s">
        <v>300</v>
      </c>
      <c r="D787" s="4" t="str">
        <f t="shared" si="1"/>
        <v>XGBoost</v>
      </c>
      <c r="E787" s="4">
        <f t="shared" si="2"/>
        <v>140.4</v>
      </c>
      <c r="F787" s="4">
        <f t="shared" si="3"/>
        <v>49.4</v>
      </c>
      <c r="G787" s="4">
        <f t="shared" si="4"/>
        <v>140</v>
      </c>
      <c r="H787" s="4" t="str">
        <f t="shared" si="5"/>
        <v>Binh thuong</v>
      </c>
    </row>
    <row r="788" ht="14.25" customHeight="1">
      <c r="A788" s="4" t="s">
        <v>804</v>
      </c>
      <c r="B788" s="4">
        <v>816.0</v>
      </c>
      <c r="C788" s="4" t="s">
        <v>300</v>
      </c>
      <c r="D788" s="4" t="str">
        <f t="shared" si="1"/>
        <v>XGBoost</v>
      </c>
      <c r="E788" s="4">
        <f t="shared" si="2"/>
        <v>139.8857143</v>
      </c>
      <c r="F788" s="4">
        <f t="shared" si="3"/>
        <v>49.21904762</v>
      </c>
      <c r="G788" s="4">
        <f t="shared" si="4"/>
        <v>140</v>
      </c>
      <c r="H788" s="4" t="str">
        <f t="shared" si="5"/>
        <v>Binh thuong</v>
      </c>
    </row>
    <row r="789" ht="14.25" customHeight="1">
      <c r="A789" s="4" t="s">
        <v>805</v>
      </c>
      <c r="B789" s="4">
        <v>813.0</v>
      </c>
      <c r="C789" s="4" t="s">
        <v>300</v>
      </c>
      <c r="D789" s="4" t="str">
        <f t="shared" si="1"/>
        <v>XGBoost</v>
      </c>
      <c r="E789" s="4">
        <f t="shared" si="2"/>
        <v>139.3714286</v>
      </c>
      <c r="F789" s="4">
        <f t="shared" si="3"/>
        <v>49.03809524</v>
      </c>
      <c r="G789" s="4">
        <f t="shared" si="4"/>
        <v>139</v>
      </c>
      <c r="H789" s="4" t="str">
        <f t="shared" si="5"/>
        <v>Binh thuong</v>
      </c>
    </row>
    <row r="790" ht="14.25" customHeight="1">
      <c r="A790" s="4" t="s">
        <v>806</v>
      </c>
      <c r="B790" s="4">
        <v>809.0</v>
      </c>
      <c r="C790" s="4" t="s">
        <v>300</v>
      </c>
      <c r="D790" s="4" t="str">
        <f t="shared" si="1"/>
        <v>XGBoost</v>
      </c>
      <c r="E790" s="4">
        <f t="shared" si="2"/>
        <v>138.6857143</v>
      </c>
      <c r="F790" s="4">
        <f t="shared" si="3"/>
        <v>48.7968254</v>
      </c>
      <c r="G790" s="4">
        <f t="shared" si="4"/>
        <v>139</v>
      </c>
      <c r="H790" s="4" t="str">
        <f t="shared" si="5"/>
        <v>Binh thuong</v>
      </c>
    </row>
    <row r="791" ht="14.25" customHeight="1">
      <c r="A791" s="4" t="s">
        <v>807</v>
      </c>
      <c r="B791" s="4">
        <v>806.0</v>
      </c>
      <c r="C791" s="4" t="s">
        <v>300</v>
      </c>
      <c r="D791" s="4" t="str">
        <f t="shared" si="1"/>
        <v>XGBoost</v>
      </c>
      <c r="E791" s="4">
        <f t="shared" si="2"/>
        <v>138.1714286</v>
      </c>
      <c r="F791" s="4">
        <f t="shared" si="3"/>
        <v>48.61587302</v>
      </c>
      <c r="G791" s="4">
        <f t="shared" si="4"/>
        <v>138</v>
      </c>
      <c r="H791" s="4" t="str">
        <f t="shared" si="5"/>
        <v>Binh thuong</v>
      </c>
    </row>
    <row r="792" ht="14.25" customHeight="1">
      <c r="A792" s="4" t="s">
        <v>808</v>
      </c>
      <c r="B792" s="4">
        <v>800.0</v>
      </c>
      <c r="C792" s="4" t="s">
        <v>300</v>
      </c>
      <c r="D792" s="4" t="str">
        <f t="shared" si="1"/>
        <v>XGBoost</v>
      </c>
      <c r="E792" s="4">
        <f t="shared" si="2"/>
        <v>137.1428571</v>
      </c>
      <c r="F792" s="4">
        <f t="shared" si="3"/>
        <v>48.25396825</v>
      </c>
      <c r="G792" s="4">
        <f t="shared" si="4"/>
        <v>137</v>
      </c>
      <c r="H792" s="4" t="str">
        <f t="shared" si="5"/>
        <v>Binh thuong</v>
      </c>
    </row>
    <row r="793" ht="14.25" customHeight="1">
      <c r="A793" s="4" t="s">
        <v>809</v>
      </c>
      <c r="B793" s="4">
        <v>797.0</v>
      </c>
      <c r="C793" s="4" t="s">
        <v>300</v>
      </c>
      <c r="D793" s="4" t="str">
        <f t="shared" si="1"/>
        <v>XGBoost</v>
      </c>
      <c r="E793" s="4">
        <f t="shared" si="2"/>
        <v>136.6285714</v>
      </c>
      <c r="F793" s="4">
        <f t="shared" si="3"/>
        <v>48.07301587</v>
      </c>
      <c r="G793" s="4">
        <f t="shared" si="4"/>
        <v>137</v>
      </c>
      <c r="H793" s="4" t="str">
        <f t="shared" si="5"/>
        <v>Binh thuong</v>
      </c>
    </row>
    <row r="794" ht="14.25" customHeight="1">
      <c r="A794" s="4" t="s">
        <v>810</v>
      </c>
      <c r="B794" s="4">
        <v>797.0</v>
      </c>
      <c r="C794" s="4" t="s">
        <v>300</v>
      </c>
      <c r="D794" s="4" t="str">
        <f t="shared" si="1"/>
        <v>XGBoost</v>
      </c>
      <c r="E794" s="4">
        <f t="shared" si="2"/>
        <v>136.6285714</v>
      </c>
      <c r="F794" s="4">
        <f t="shared" si="3"/>
        <v>48.07301587</v>
      </c>
      <c r="G794" s="4">
        <f t="shared" si="4"/>
        <v>137</v>
      </c>
      <c r="H794" s="4" t="str">
        <f t="shared" si="5"/>
        <v>Binh thuong</v>
      </c>
    </row>
    <row r="795" ht="14.25" customHeight="1">
      <c r="A795" s="4" t="s">
        <v>811</v>
      </c>
      <c r="B795" s="4">
        <v>788.0</v>
      </c>
      <c r="C795" s="4" t="s">
        <v>300</v>
      </c>
      <c r="D795" s="4" t="str">
        <f t="shared" si="1"/>
        <v>XGBoost</v>
      </c>
      <c r="E795" s="4">
        <f t="shared" si="2"/>
        <v>135.0857143</v>
      </c>
      <c r="F795" s="4">
        <f t="shared" si="3"/>
        <v>47.53015873</v>
      </c>
      <c r="G795" s="4">
        <f t="shared" si="4"/>
        <v>135</v>
      </c>
      <c r="H795" s="4" t="str">
        <f t="shared" si="5"/>
        <v>Binh thuong</v>
      </c>
    </row>
    <row r="796" ht="14.25" customHeight="1">
      <c r="A796" s="4" t="s">
        <v>812</v>
      </c>
      <c r="B796" s="4">
        <v>788.0</v>
      </c>
      <c r="C796" s="4" t="s">
        <v>300</v>
      </c>
      <c r="D796" s="4" t="str">
        <f t="shared" si="1"/>
        <v>XGBoost</v>
      </c>
      <c r="E796" s="4">
        <f t="shared" si="2"/>
        <v>135.0857143</v>
      </c>
      <c r="F796" s="4">
        <f t="shared" si="3"/>
        <v>47.53015873</v>
      </c>
      <c r="G796" s="4">
        <f t="shared" si="4"/>
        <v>135</v>
      </c>
      <c r="H796" s="4" t="str">
        <f t="shared" si="5"/>
        <v>Binh thuong</v>
      </c>
    </row>
    <row r="797" ht="14.25" customHeight="1">
      <c r="A797" s="4" t="s">
        <v>813</v>
      </c>
      <c r="B797" s="4">
        <v>787.0</v>
      </c>
      <c r="C797" s="4" t="s">
        <v>300</v>
      </c>
      <c r="D797" s="4" t="str">
        <f t="shared" si="1"/>
        <v>XGBoost</v>
      </c>
      <c r="E797" s="4">
        <f t="shared" si="2"/>
        <v>134.9142857</v>
      </c>
      <c r="F797" s="4">
        <f t="shared" si="3"/>
        <v>47.46984127</v>
      </c>
      <c r="G797" s="4">
        <f t="shared" si="4"/>
        <v>135</v>
      </c>
      <c r="H797" s="4" t="str">
        <f t="shared" si="5"/>
        <v>Binh thuong</v>
      </c>
    </row>
    <row r="798" ht="14.25" customHeight="1">
      <c r="A798" s="4" t="s">
        <v>814</v>
      </c>
      <c r="B798" s="4">
        <v>777.0</v>
      </c>
      <c r="C798" s="4" t="s">
        <v>300</v>
      </c>
      <c r="D798" s="4" t="str">
        <f t="shared" si="1"/>
        <v>XGBoost</v>
      </c>
      <c r="E798" s="4">
        <f t="shared" si="2"/>
        <v>133.2</v>
      </c>
      <c r="F798" s="4">
        <f t="shared" si="3"/>
        <v>46.86666667</v>
      </c>
      <c r="G798" s="4">
        <f t="shared" si="4"/>
        <v>133</v>
      </c>
      <c r="H798" s="4" t="str">
        <f t="shared" si="5"/>
        <v>Binh thuong</v>
      </c>
    </row>
    <row r="799" ht="14.25" customHeight="1">
      <c r="A799" s="4" t="s">
        <v>815</v>
      </c>
      <c r="B799" s="4">
        <v>764.0</v>
      </c>
      <c r="C799" s="4" t="s">
        <v>300</v>
      </c>
      <c r="D799" s="4" t="str">
        <f t="shared" si="1"/>
        <v>XGBoost</v>
      </c>
      <c r="E799" s="4">
        <f t="shared" si="2"/>
        <v>130.9714286</v>
      </c>
      <c r="F799" s="4">
        <f t="shared" si="3"/>
        <v>46.08253968</v>
      </c>
      <c r="G799" s="4">
        <f t="shared" si="4"/>
        <v>131</v>
      </c>
      <c r="H799" s="4" t="str">
        <f t="shared" si="5"/>
        <v>Binh thuong</v>
      </c>
    </row>
    <row r="800" ht="14.25" customHeight="1">
      <c r="A800" s="4" t="s">
        <v>816</v>
      </c>
      <c r="B800" s="4">
        <v>755.0</v>
      </c>
      <c r="C800" s="4" t="s">
        <v>300</v>
      </c>
      <c r="D800" s="4" t="str">
        <f t="shared" si="1"/>
        <v>XGBoost</v>
      </c>
      <c r="E800" s="4">
        <f t="shared" si="2"/>
        <v>129.4285714</v>
      </c>
      <c r="F800" s="4">
        <f t="shared" si="3"/>
        <v>45.53968254</v>
      </c>
      <c r="G800" s="4">
        <f t="shared" si="4"/>
        <v>129</v>
      </c>
      <c r="H800" s="4" t="str">
        <f t="shared" si="5"/>
        <v>Binh thuong</v>
      </c>
    </row>
    <row r="801" ht="14.25" customHeight="1">
      <c r="A801" s="4" t="s">
        <v>817</v>
      </c>
      <c r="B801" s="4">
        <v>725.0</v>
      </c>
      <c r="C801" s="4" t="s">
        <v>300</v>
      </c>
      <c r="D801" s="4" t="str">
        <f t="shared" si="1"/>
        <v>XGBoost</v>
      </c>
      <c r="E801" s="4">
        <f t="shared" si="2"/>
        <v>124.2857143</v>
      </c>
      <c r="F801" s="4">
        <f t="shared" si="3"/>
        <v>43.73015873</v>
      </c>
      <c r="G801" s="4">
        <f t="shared" si="4"/>
        <v>124</v>
      </c>
      <c r="H801" s="4" t="str">
        <f t="shared" si="5"/>
        <v>Binh thuong</v>
      </c>
    </row>
    <row r="802" ht="14.25" customHeight="1">
      <c r="A802" s="4" t="s">
        <v>818</v>
      </c>
      <c r="B802" s="4">
        <v>701.0</v>
      </c>
      <c r="C802" s="4" t="s">
        <v>300</v>
      </c>
      <c r="D802" s="4" t="str">
        <f t="shared" si="1"/>
        <v>XGBoost</v>
      </c>
      <c r="E802" s="4">
        <f t="shared" si="2"/>
        <v>120.1714286</v>
      </c>
      <c r="F802" s="4">
        <f t="shared" si="3"/>
        <v>42.28253968</v>
      </c>
      <c r="G802" s="4">
        <f t="shared" si="4"/>
        <v>120</v>
      </c>
      <c r="H802" s="4" t="str">
        <f t="shared" si="5"/>
        <v>Binh thuong</v>
      </c>
    </row>
    <row r="803" ht="14.25" customHeight="1">
      <c r="A803" s="4" t="s">
        <v>819</v>
      </c>
      <c r="B803" s="4">
        <v>686.0</v>
      </c>
      <c r="C803" s="4" t="s">
        <v>300</v>
      </c>
      <c r="D803" s="4" t="str">
        <f t="shared" si="1"/>
        <v>XGBoost</v>
      </c>
      <c r="E803" s="4">
        <f t="shared" si="2"/>
        <v>117.6</v>
      </c>
      <c r="F803" s="4">
        <f t="shared" si="3"/>
        <v>41.37777778</v>
      </c>
      <c r="G803" s="4">
        <f t="shared" si="4"/>
        <v>118</v>
      </c>
      <c r="H803" s="4" t="str">
        <f t="shared" si="5"/>
        <v>Binh thuong</v>
      </c>
    </row>
    <row r="804" ht="14.25" customHeight="1">
      <c r="A804" s="4" t="s">
        <v>820</v>
      </c>
      <c r="B804" s="4">
        <v>684.0</v>
      </c>
      <c r="C804" s="4" t="s">
        <v>300</v>
      </c>
      <c r="D804" s="4" t="str">
        <f t="shared" si="1"/>
        <v>XGBoost</v>
      </c>
      <c r="E804" s="4">
        <f t="shared" si="2"/>
        <v>117.2571429</v>
      </c>
      <c r="F804" s="4">
        <f t="shared" si="3"/>
        <v>41.25714286</v>
      </c>
      <c r="G804" s="4">
        <f t="shared" si="4"/>
        <v>117</v>
      </c>
      <c r="H804" s="4" t="str">
        <f t="shared" si="5"/>
        <v>Binh thuong</v>
      </c>
    </row>
    <row r="805" ht="14.25" customHeight="1">
      <c r="A805" s="4" t="s">
        <v>821</v>
      </c>
      <c r="B805" s="4">
        <v>672.0</v>
      </c>
      <c r="C805" s="4" t="s">
        <v>300</v>
      </c>
      <c r="D805" s="4" t="str">
        <f t="shared" si="1"/>
        <v>XGBoost</v>
      </c>
      <c r="E805" s="4">
        <f t="shared" si="2"/>
        <v>115.2</v>
      </c>
      <c r="F805" s="4">
        <f t="shared" si="3"/>
        <v>40.53333333</v>
      </c>
      <c r="G805" s="4">
        <f t="shared" si="4"/>
        <v>115</v>
      </c>
      <c r="H805" s="4" t="str">
        <f t="shared" si="5"/>
        <v>Binh thuong</v>
      </c>
    </row>
    <row r="806" ht="14.25" customHeight="1">
      <c r="A806" s="4" t="s">
        <v>822</v>
      </c>
      <c r="B806" s="4">
        <v>668.0</v>
      </c>
      <c r="C806" s="4" t="s">
        <v>300</v>
      </c>
      <c r="D806" s="4" t="str">
        <f t="shared" si="1"/>
        <v>XGBoost</v>
      </c>
      <c r="E806" s="4">
        <f t="shared" si="2"/>
        <v>114.5142857</v>
      </c>
      <c r="F806" s="4">
        <f t="shared" si="3"/>
        <v>40.29206349</v>
      </c>
      <c r="G806" s="4">
        <f t="shared" si="4"/>
        <v>115</v>
      </c>
      <c r="H806" s="4" t="str">
        <f t="shared" si="5"/>
        <v>Binh thuong</v>
      </c>
    </row>
    <row r="807" ht="14.25" customHeight="1">
      <c r="A807" s="4" t="s">
        <v>823</v>
      </c>
      <c r="B807" s="4">
        <v>624.0</v>
      </c>
      <c r="C807" s="4" t="s">
        <v>300</v>
      </c>
      <c r="D807" s="4" t="str">
        <f t="shared" si="1"/>
        <v>XGBoost</v>
      </c>
      <c r="E807" s="4">
        <f t="shared" si="2"/>
        <v>106.9714286</v>
      </c>
      <c r="F807" s="4">
        <f t="shared" si="3"/>
        <v>37.63809524</v>
      </c>
      <c r="G807" s="4">
        <f t="shared" si="4"/>
        <v>107</v>
      </c>
      <c r="H807" s="4" t="str">
        <f t="shared" si="5"/>
        <v>Binh thuong</v>
      </c>
    </row>
    <row r="808" ht="14.25" customHeight="1">
      <c r="A808" s="4" t="s">
        <v>824</v>
      </c>
      <c r="B808" s="4">
        <v>616.0</v>
      </c>
      <c r="C808" s="4" t="s">
        <v>300</v>
      </c>
      <c r="D808" s="4" t="str">
        <f t="shared" si="1"/>
        <v>XGBoost</v>
      </c>
      <c r="E808" s="4">
        <f t="shared" si="2"/>
        <v>105.6</v>
      </c>
      <c r="F808" s="4">
        <f t="shared" si="3"/>
        <v>37.15555556</v>
      </c>
      <c r="G808" s="4">
        <f t="shared" si="4"/>
        <v>106</v>
      </c>
      <c r="H808" s="4" t="str">
        <f t="shared" si="5"/>
        <v>Binh thuong</v>
      </c>
    </row>
    <row r="809" ht="14.25" customHeight="1">
      <c r="A809" s="4" t="s">
        <v>825</v>
      </c>
      <c r="B809" s="4">
        <v>611.0</v>
      </c>
      <c r="C809" s="4" t="s">
        <v>300</v>
      </c>
      <c r="D809" s="4" t="str">
        <f t="shared" si="1"/>
        <v>XGBoost</v>
      </c>
      <c r="E809" s="4">
        <f t="shared" si="2"/>
        <v>104.7428571</v>
      </c>
      <c r="F809" s="4">
        <f t="shared" si="3"/>
        <v>36.85396825</v>
      </c>
      <c r="G809" s="4">
        <f t="shared" si="4"/>
        <v>105</v>
      </c>
      <c r="H809" s="4" t="str">
        <f t="shared" si="5"/>
        <v>Binh thuong</v>
      </c>
    </row>
    <row r="810" ht="14.25" customHeight="1">
      <c r="A810" s="4" t="s">
        <v>826</v>
      </c>
      <c r="B810" s="4">
        <v>609.0</v>
      </c>
      <c r="C810" s="4" t="s">
        <v>300</v>
      </c>
      <c r="D810" s="4" t="str">
        <f t="shared" si="1"/>
        <v>XGBoost</v>
      </c>
      <c r="E810" s="4">
        <f t="shared" si="2"/>
        <v>104.4</v>
      </c>
      <c r="F810" s="4">
        <f t="shared" si="3"/>
        <v>36.73333333</v>
      </c>
      <c r="G810" s="4">
        <f t="shared" si="4"/>
        <v>104</v>
      </c>
      <c r="H810" s="4" t="str">
        <f t="shared" si="5"/>
        <v>Binh thuong</v>
      </c>
    </row>
    <row r="811" ht="14.25" customHeight="1">
      <c r="A811" s="4" t="s">
        <v>827</v>
      </c>
      <c r="B811" s="4">
        <v>602.0</v>
      </c>
      <c r="C811" s="4" t="s">
        <v>300</v>
      </c>
      <c r="D811" s="4" t="str">
        <f t="shared" si="1"/>
        <v>XGBoost</v>
      </c>
      <c r="E811" s="4">
        <f t="shared" si="2"/>
        <v>103.2</v>
      </c>
      <c r="F811" s="4">
        <f t="shared" si="3"/>
        <v>36.31111111</v>
      </c>
      <c r="G811" s="4">
        <f t="shared" si="4"/>
        <v>103</v>
      </c>
      <c r="H811" s="4" t="str">
        <f t="shared" si="5"/>
        <v>Binh thuong</v>
      </c>
    </row>
    <row r="812" ht="14.25" customHeight="1">
      <c r="A812" s="4" t="s">
        <v>828</v>
      </c>
      <c r="B812" s="4">
        <v>601.0</v>
      </c>
      <c r="C812" s="4" t="s">
        <v>300</v>
      </c>
      <c r="D812" s="4" t="str">
        <f t="shared" si="1"/>
        <v>XGBoost</v>
      </c>
      <c r="E812" s="4">
        <f t="shared" si="2"/>
        <v>103.0285714</v>
      </c>
      <c r="F812" s="4">
        <f t="shared" si="3"/>
        <v>36.25079365</v>
      </c>
      <c r="G812" s="4">
        <f t="shared" si="4"/>
        <v>103</v>
      </c>
      <c r="H812" s="4" t="str">
        <f t="shared" si="5"/>
        <v>Binh thuong</v>
      </c>
    </row>
    <row r="813" ht="14.25" customHeight="1">
      <c r="A813" s="4" t="s">
        <v>829</v>
      </c>
      <c r="B813" s="4">
        <v>594.0</v>
      </c>
      <c r="C813" s="4" t="s">
        <v>300</v>
      </c>
      <c r="D813" s="4" t="str">
        <f t="shared" si="1"/>
        <v>XGBoost</v>
      </c>
      <c r="E813" s="4">
        <f t="shared" si="2"/>
        <v>101.8285714</v>
      </c>
      <c r="F813" s="4">
        <f t="shared" si="3"/>
        <v>35.82857143</v>
      </c>
      <c r="G813" s="4">
        <f t="shared" si="4"/>
        <v>102</v>
      </c>
      <c r="H813" s="4" t="str">
        <f t="shared" si="5"/>
        <v>Binh thuong</v>
      </c>
    </row>
    <row r="814" ht="14.25" customHeight="1">
      <c r="A814" s="4" t="s">
        <v>830</v>
      </c>
      <c r="B814" s="4">
        <v>592.0</v>
      </c>
      <c r="C814" s="4" t="s">
        <v>300</v>
      </c>
      <c r="D814" s="4" t="str">
        <f t="shared" si="1"/>
        <v>XGBoost</v>
      </c>
      <c r="E814" s="4">
        <f t="shared" si="2"/>
        <v>101.4857143</v>
      </c>
      <c r="F814" s="4">
        <f t="shared" si="3"/>
        <v>35.70793651</v>
      </c>
      <c r="G814" s="4">
        <f t="shared" si="4"/>
        <v>101</v>
      </c>
      <c r="H814" s="4" t="str">
        <f t="shared" si="5"/>
        <v>Binh thuong</v>
      </c>
    </row>
    <row r="815" ht="14.25" customHeight="1">
      <c r="A815" s="4" t="s">
        <v>831</v>
      </c>
      <c r="B815" s="4">
        <v>585.0</v>
      </c>
      <c r="C815" s="4" t="s">
        <v>300</v>
      </c>
      <c r="D815" s="4" t="str">
        <f t="shared" si="1"/>
        <v>XGBoost</v>
      </c>
      <c r="E815" s="4">
        <f t="shared" si="2"/>
        <v>100.2857143</v>
      </c>
      <c r="F815" s="4">
        <f t="shared" si="3"/>
        <v>35.28571429</v>
      </c>
      <c r="G815" s="4">
        <f t="shared" si="4"/>
        <v>100</v>
      </c>
      <c r="H815" s="4" t="str">
        <f t="shared" si="5"/>
        <v>Binh thuong</v>
      </c>
    </row>
    <row r="816" ht="14.25" customHeight="1">
      <c r="A816" s="4" t="s">
        <v>832</v>
      </c>
      <c r="B816" s="4">
        <v>558.0</v>
      </c>
      <c r="C816" s="4" t="s">
        <v>300</v>
      </c>
      <c r="D816" s="4" t="str">
        <f t="shared" si="1"/>
        <v>XGBoost</v>
      </c>
      <c r="E816" s="4">
        <f t="shared" si="2"/>
        <v>95.65714286</v>
      </c>
      <c r="F816" s="4">
        <f t="shared" si="3"/>
        <v>33.65714286</v>
      </c>
      <c r="G816" s="4">
        <f t="shared" si="4"/>
        <v>96</v>
      </c>
      <c r="H816" s="4" t="str">
        <f t="shared" si="5"/>
        <v>Binh thuong</v>
      </c>
    </row>
    <row r="817" ht="14.25" customHeight="1">
      <c r="A817" s="4" t="s">
        <v>833</v>
      </c>
      <c r="B817" s="4">
        <v>549.0</v>
      </c>
      <c r="C817" s="4" t="s">
        <v>300</v>
      </c>
      <c r="D817" s="4" t="str">
        <f t="shared" si="1"/>
        <v>XGBoost</v>
      </c>
      <c r="E817" s="4">
        <f t="shared" si="2"/>
        <v>94.11428571</v>
      </c>
      <c r="F817" s="4">
        <f t="shared" si="3"/>
        <v>33.11428571</v>
      </c>
      <c r="G817" s="4">
        <f t="shared" si="4"/>
        <v>94</v>
      </c>
      <c r="H817" s="4" t="str">
        <f t="shared" si="5"/>
        <v>Binh thuong</v>
      </c>
    </row>
    <row r="818" ht="14.25" customHeight="1">
      <c r="A818" s="4" t="s">
        <v>834</v>
      </c>
      <c r="B818" s="4">
        <v>542.0</v>
      </c>
      <c r="C818" s="4" t="s">
        <v>300</v>
      </c>
      <c r="D818" s="4" t="str">
        <f t="shared" si="1"/>
        <v>XGBoost</v>
      </c>
      <c r="E818" s="4">
        <f t="shared" si="2"/>
        <v>92.91428571</v>
      </c>
      <c r="F818" s="4">
        <f t="shared" si="3"/>
        <v>32.69206349</v>
      </c>
      <c r="G818" s="4">
        <f t="shared" si="4"/>
        <v>93</v>
      </c>
      <c r="H818" s="4" t="str">
        <f t="shared" si="5"/>
        <v>Binh thuong</v>
      </c>
    </row>
    <row r="819" ht="14.25" customHeight="1">
      <c r="A819" s="4" t="s">
        <v>835</v>
      </c>
      <c r="B819" s="4">
        <v>541.0</v>
      </c>
      <c r="C819" s="4" t="s">
        <v>300</v>
      </c>
      <c r="D819" s="4" t="str">
        <f t="shared" si="1"/>
        <v>XGBoost</v>
      </c>
      <c r="E819" s="4">
        <f t="shared" si="2"/>
        <v>92.74285714</v>
      </c>
      <c r="F819" s="4">
        <f t="shared" si="3"/>
        <v>32.63174603</v>
      </c>
      <c r="G819" s="4">
        <f t="shared" si="4"/>
        <v>93</v>
      </c>
      <c r="H819" s="4" t="str">
        <f t="shared" si="5"/>
        <v>Binh thuong</v>
      </c>
    </row>
    <row r="820" ht="14.25" customHeight="1">
      <c r="A820" s="4" t="s">
        <v>836</v>
      </c>
      <c r="B820" s="4">
        <v>528.0</v>
      </c>
      <c r="C820" s="4" t="s">
        <v>300</v>
      </c>
      <c r="D820" s="4" t="str">
        <f t="shared" si="1"/>
        <v>XGBoost</v>
      </c>
      <c r="E820" s="4">
        <f t="shared" si="2"/>
        <v>90.51428571</v>
      </c>
      <c r="F820" s="4">
        <f t="shared" si="3"/>
        <v>31.84761905</v>
      </c>
      <c r="G820" s="4">
        <f t="shared" si="4"/>
        <v>91</v>
      </c>
      <c r="H820" s="4" t="str">
        <f t="shared" si="5"/>
        <v>Binh thuong</v>
      </c>
    </row>
    <row r="821" ht="14.25" customHeight="1">
      <c r="A821" s="4" t="s">
        <v>837</v>
      </c>
      <c r="B821" s="4">
        <v>525.0</v>
      </c>
      <c r="C821" s="4" t="s">
        <v>300</v>
      </c>
      <c r="D821" s="4" t="str">
        <f t="shared" si="1"/>
        <v>XGBoost</v>
      </c>
      <c r="E821" s="4">
        <f t="shared" si="2"/>
        <v>90</v>
      </c>
      <c r="F821" s="4">
        <f t="shared" si="3"/>
        <v>31.66666667</v>
      </c>
      <c r="G821" s="4">
        <f t="shared" si="4"/>
        <v>90</v>
      </c>
      <c r="H821" s="4" t="str">
        <f t="shared" si="5"/>
        <v>Binh thuong</v>
      </c>
    </row>
    <row r="822" ht="14.25" customHeight="1">
      <c r="A822" s="4" t="s">
        <v>838</v>
      </c>
      <c r="B822" s="4">
        <v>522.0</v>
      </c>
      <c r="C822" s="4" t="s">
        <v>300</v>
      </c>
      <c r="D822" s="4" t="str">
        <f t="shared" si="1"/>
        <v>XGBoost</v>
      </c>
      <c r="E822" s="4">
        <f t="shared" si="2"/>
        <v>89.48571429</v>
      </c>
      <c r="F822" s="4">
        <f t="shared" si="3"/>
        <v>31.48571429</v>
      </c>
      <c r="G822" s="4">
        <f t="shared" si="4"/>
        <v>89</v>
      </c>
      <c r="H822" s="4" t="str">
        <f t="shared" si="5"/>
        <v>Binh thuong</v>
      </c>
    </row>
    <row r="823" ht="14.25" customHeight="1">
      <c r="A823" s="4" t="s">
        <v>839</v>
      </c>
      <c r="B823" s="4">
        <v>516.0</v>
      </c>
      <c r="C823" s="4" t="s">
        <v>300</v>
      </c>
      <c r="D823" s="4" t="str">
        <f t="shared" si="1"/>
        <v>XGBoost</v>
      </c>
      <c r="E823" s="4">
        <f t="shared" si="2"/>
        <v>88.45714286</v>
      </c>
      <c r="F823" s="4">
        <f t="shared" si="3"/>
        <v>31.12380952</v>
      </c>
      <c r="G823" s="4">
        <f t="shared" si="4"/>
        <v>88</v>
      </c>
      <c r="H823" s="4" t="str">
        <f t="shared" si="5"/>
        <v>Binh thuong</v>
      </c>
    </row>
    <row r="824" ht="14.25" customHeight="1">
      <c r="A824" s="4" t="s">
        <v>840</v>
      </c>
      <c r="B824" s="4">
        <v>512.0</v>
      </c>
      <c r="C824" s="4" t="s">
        <v>300</v>
      </c>
      <c r="D824" s="4" t="str">
        <f t="shared" si="1"/>
        <v>XGBoost</v>
      </c>
      <c r="E824" s="4">
        <f t="shared" si="2"/>
        <v>87.77142857</v>
      </c>
      <c r="F824" s="4">
        <f t="shared" si="3"/>
        <v>30.88253968</v>
      </c>
      <c r="G824" s="4">
        <f t="shared" si="4"/>
        <v>88</v>
      </c>
      <c r="H824" s="4" t="str">
        <f t="shared" si="5"/>
        <v>Binh thuong</v>
      </c>
    </row>
    <row r="825" ht="14.25" customHeight="1">
      <c r="A825" s="4" t="s">
        <v>841</v>
      </c>
      <c r="B825" s="4">
        <v>511.0</v>
      </c>
      <c r="C825" s="4" t="s">
        <v>300</v>
      </c>
      <c r="D825" s="4" t="str">
        <f t="shared" si="1"/>
        <v>XGBoost</v>
      </c>
      <c r="E825" s="4">
        <f t="shared" si="2"/>
        <v>87.6</v>
      </c>
      <c r="F825" s="4">
        <f t="shared" si="3"/>
        <v>30.82222222</v>
      </c>
      <c r="G825" s="4">
        <f t="shared" si="4"/>
        <v>88</v>
      </c>
      <c r="H825" s="4" t="str">
        <f t="shared" si="5"/>
        <v>Binh thuong</v>
      </c>
    </row>
    <row r="826" ht="14.25" customHeight="1">
      <c r="A826" s="4" t="s">
        <v>842</v>
      </c>
      <c r="B826" s="4">
        <v>480.0</v>
      </c>
      <c r="C826" s="4" t="s">
        <v>300</v>
      </c>
      <c r="D826" s="4" t="str">
        <f t="shared" si="1"/>
        <v>XGBoost</v>
      </c>
      <c r="E826" s="4">
        <f t="shared" si="2"/>
        <v>82.28571429</v>
      </c>
      <c r="F826" s="4">
        <f t="shared" si="3"/>
        <v>28.95238095</v>
      </c>
      <c r="G826" s="4">
        <f t="shared" si="4"/>
        <v>82</v>
      </c>
      <c r="H826" s="4" t="str">
        <f t="shared" si="5"/>
        <v>Binh thuong</v>
      </c>
    </row>
    <row r="827" ht="14.25" customHeight="1">
      <c r="A827" s="4" t="s">
        <v>843</v>
      </c>
      <c r="B827" s="4">
        <v>476.0</v>
      </c>
      <c r="C827" s="4" t="s">
        <v>300</v>
      </c>
      <c r="D827" s="4" t="str">
        <f t="shared" si="1"/>
        <v>XGBoost</v>
      </c>
      <c r="E827" s="4">
        <f t="shared" si="2"/>
        <v>81.6</v>
      </c>
      <c r="F827" s="4">
        <f t="shared" si="3"/>
        <v>28.71111111</v>
      </c>
      <c r="G827" s="4">
        <f t="shared" si="4"/>
        <v>82</v>
      </c>
      <c r="H827" s="4" t="str">
        <f t="shared" si="5"/>
        <v>Binh thuong</v>
      </c>
    </row>
    <row r="828" ht="14.25" customHeight="1">
      <c r="A828" s="4" t="s">
        <v>844</v>
      </c>
      <c r="B828" s="4">
        <v>470.0</v>
      </c>
      <c r="C828" s="4" t="s">
        <v>300</v>
      </c>
      <c r="D828" s="4" t="str">
        <f t="shared" si="1"/>
        <v>XGBoost</v>
      </c>
      <c r="E828" s="4">
        <f t="shared" si="2"/>
        <v>80.57142857</v>
      </c>
      <c r="F828" s="4">
        <f t="shared" si="3"/>
        <v>28.34920635</v>
      </c>
      <c r="G828" s="4">
        <f t="shared" si="4"/>
        <v>81</v>
      </c>
      <c r="H828" s="4" t="str">
        <f t="shared" si="5"/>
        <v>Binh thuong</v>
      </c>
    </row>
    <row r="829" ht="14.25" customHeight="1">
      <c r="A829" s="4" t="s">
        <v>845</v>
      </c>
      <c r="B829" s="4">
        <v>464.0</v>
      </c>
      <c r="C829" s="4" t="s">
        <v>300</v>
      </c>
      <c r="D829" s="4" t="str">
        <f t="shared" si="1"/>
        <v>XGBoost</v>
      </c>
      <c r="E829" s="4">
        <f t="shared" si="2"/>
        <v>79.54285714</v>
      </c>
      <c r="F829" s="4">
        <f t="shared" si="3"/>
        <v>27.98730159</v>
      </c>
      <c r="G829" s="4">
        <f t="shared" si="4"/>
        <v>80</v>
      </c>
      <c r="H829" s="4" t="str">
        <f t="shared" si="5"/>
        <v>Binh thuong</v>
      </c>
    </row>
    <row r="830" ht="14.25" customHeight="1">
      <c r="A830" s="4" t="s">
        <v>846</v>
      </c>
      <c r="B830" s="4">
        <v>448.0</v>
      </c>
      <c r="C830" s="4" t="s">
        <v>300</v>
      </c>
      <c r="D830" s="4" t="str">
        <f t="shared" si="1"/>
        <v>XGBoost</v>
      </c>
      <c r="E830" s="4">
        <f t="shared" si="2"/>
        <v>76.8</v>
      </c>
      <c r="F830" s="4">
        <f t="shared" si="3"/>
        <v>27.02222222</v>
      </c>
      <c r="G830" s="4">
        <f t="shared" si="4"/>
        <v>77</v>
      </c>
      <c r="H830" s="4" t="str">
        <f t="shared" si="5"/>
        <v>Binh thuong</v>
      </c>
    </row>
    <row r="831" ht="14.25" customHeight="1">
      <c r="A831" s="4" t="s">
        <v>847</v>
      </c>
      <c r="B831" s="4">
        <v>433.0</v>
      </c>
      <c r="C831" s="4" t="s">
        <v>300</v>
      </c>
      <c r="D831" s="4" t="str">
        <f t="shared" si="1"/>
        <v>XGBoost</v>
      </c>
      <c r="E831" s="4">
        <f t="shared" si="2"/>
        <v>74.22857143</v>
      </c>
      <c r="F831" s="4">
        <f t="shared" si="3"/>
        <v>26.11746032</v>
      </c>
      <c r="G831" s="4">
        <f t="shared" si="4"/>
        <v>74</v>
      </c>
      <c r="H831" s="4" t="str">
        <f t="shared" si="5"/>
        <v>Binh thuong</v>
      </c>
    </row>
    <row r="832" ht="14.25" customHeight="1">
      <c r="A832" s="4" t="s">
        <v>848</v>
      </c>
      <c r="B832" s="4">
        <v>406.0</v>
      </c>
      <c r="C832" s="4" t="s">
        <v>300</v>
      </c>
      <c r="D832" s="4" t="str">
        <f t="shared" si="1"/>
        <v>XGBoost</v>
      </c>
      <c r="E832" s="4">
        <f t="shared" si="2"/>
        <v>69.6</v>
      </c>
      <c r="F832" s="4">
        <f t="shared" si="3"/>
        <v>24.48888889</v>
      </c>
      <c r="G832" s="4">
        <f t="shared" si="4"/>
        <v>70</v>
      </c>
      <c r="H832" s="4" t="str">
        <f t="shared" si="5"/>
        <v>Binh thuong</v>
      </c>
    </row>
    <row r="833" ht="14.25" customHeight="1">
      <c r="A833" s="4" t="s">
        <v>849</v>
      </c>
      <c r="B833" s="4">
        <v>402.0</v>
      </c>
      <c r="C833" s="4" t="s">
        <v>300</v>
      </c>
      <c r="D833" s="4" t="str">
        <f t="shared" si="1"/>
        <v>XGBoost</v>
      </c>
      <c r="E833" s="4">
        <f t="shared" si="2"/>
        <v>68.91428571</v>
      </c>
      <c r="F833" s="4">
        <f t="shared" si="3"/>
        <v>24.24761905</v>
      </c>
      <c r="G833" s="4">
        <f t="shared" si="4"/>
        <v>69</v>
      </c>
      <c r="H833" s="4" t="str">
        <f t="shared" si="5"/>
        <v>Binh thuong</v>
      </c>
    </row>
    <row r="834" ht="14.25" customHeight="1">
      <c r="A834" s="4" t="s">
        <v>850</v>
      </c>
      <c r="B834" s="4">
        <v>396.0</v>
      </c>
      <c r="C834" s="4" t="s">
        <v>300</v>
      </c>
      <c r="D834" s="4" t="str">
        <f t="shared" si="1"/>
        <v>XGBoost</v>
      </c>
      <c r="E834" s="4">
        <f t="shared" si="2"/>
        <v>67.88571429</v>
      </c>
      <c r="F834" s="4">
        <f t="shared" si="3"/>
        <v>23.88571429</v>
      </c>
      <c r="G834" s="4">
        <f t="shared" si="4"/>
        <v>68</v>
      </c>
      <c r="H834" s="4" t="str">
        <f t="shared" si="5"/>
        <v>Binh thuong</v>
      </c>
    </row>
    <row r="835" ht="14.25" customHeight="1">
      <c r="A835" s="4" t="s">
        <v>851</v>
      </c>
      <c r="B835" s="4">
        <v>392.0</v>
      </c>
      <c r="C835" s="4" t="s">
        <v>300</v>
      </c>
      <c r="D835" s="4" t="str">
        <f t="shared" si="1"/>
        <v>XGBoost</v>
      </c>
      <c r="E835" s="4">
        <f t="shared" si="2"/>
        <v>67.2</v>
      </c>
      <c r="F835" s="4">
        <f t="shared" si="3"/>
        <v>23.64444444</v>
      </c>
      <c r="G835" s="4">
        <f t="shared" si="4"/>
        <v>67</v>
      </c>
      <c r="H835" s="4" t="str">
        <f t="shared" si="5"/>
        <v>Binh thuong</v>
      </c>
    </row>
    <row r="836" ht="14.25" customHeight="1">
      <c r="A836" s="4" t="s">
        <v>852</v>
      </c>
      <c r="B836" s="4">
        <v>383.0</v>
      </c>
      <c r="C836" s="4" t="s">
        <v>300</v>
      </c>
      <c r="D836" s="4" t="str">
        <f t="shared" si="1"/>
        <v>XGBoost</v>
      </c>
      <c r="E836" s="4">
        <f t="shared" si="2"/>
        <v>65.65714286</v>
      </c>
      <c r="F836" s="4">
        <f t="shared" si="3"/>
        <v>23.1015873</v>
      </c>
      <c r="G836" s="4">
        <f t="shared" si="4"/>
        <v>66</v>
      </c>
      <c r="H836" s="4" t="str">
        <f t="shared" si="5"/>
        <v>Binh thuong</v>
      </c>
    </row>
    <row r="837" ht="14.25" customHeight="1">
      <c r="A837" s="4" t="s">
        <v>853</v>
      </c>
      <c r="B837" s="4">
        <v>380.0</v>
      </c>
      <c r="C837" s="4" t="s">
        <v>300</v>
      </c>
      <c r="D837" s="4" t="str">
        <f t="shared" si="1"/>
        <v>XGBoost</v>
      </c>
      <c r="E837" s="4">
        <f t="shared" si="2"/>
        <v>65.14285714</v>
      </c>
      <c r="F837" s="4">
        <f t="shared" si="3"/>
        <v>22.92063492</v>
      </c>
      <c r="G837" s="4">
        <f t="shared" si="4"/>
        <v>65</v>
      </c>
      <c r="H837" s="4" t="str">
        <f t="shared" si="5"/>
        <v>Binh thuong</v>
      </c>
    </row>
    <row r="838" ht="14.25" customHeight="1">
      <c r="A838" s="4" t="s">
        <v>854</v>
      </c>
      <c r="B838" s="4">
        <v>369.0</v>
      </c>
      <c r="C838" s="4" t="s">
        <v>300</v>
      </c>
      <c r="D838" s="4" t="str">
        <f t="shared" si="1"/>
        <v>XGBoost</v>
      </c>
      <c r="E838" s="4">
        <f t="shared" si="2"/>
        <v>63.25714286</v>
      </c>
      <c r="F838" s="4">
        <f t="shared" si="3"/>
        <v>22.25714286</v>
      </c>
      <c r="G838" s="4">
        <f t="shared" si="4"/>
        <v>63</v>
      </c>
      <c r="H838" s="4" t="str">
        <f t="shared" si="5"/>
        <v>Binh thuong</v>
      </c>
    </row>
    <row r="839" ht="14.25" customHeight="1">
      <c r="A839" s="4" t="s">
        <v>855</v>
      </c>
      <c r="B839" s="4">
        <v>357.0</v>
      </c>
      <c r="C839" s="4" t="s">
        <v>300</v>
      </c>
      <c r="D839" s="4" t="str">
        <f t="shared" si="1"/>
        <v>XGBoost</v>
      </c>
      <c r="E839" s="4">
        <f t="shared" si="2"/>
        <v>61.2</v>
      </c>
      <c r="F839" s="4">
        <f t="shared" si="3"/>
        <v>21.53333333</v>
      </c>
      <c r="G839" s="4">
        <f t="shared" si="4"/>
        <v>61</v>
      </c>
      <c r="H839" s="4" t="str">
        <f t="shared" si="5"/>
        <v>Binh thuong</v>
      </c>
    </row>
    <row r="840" ht="14.25" customHeight="1">
      <c r="A840" s="4" t="s">
        <v>856</v>
      </c>
      <c r="B840" s="4">
        <v>351.0</v>
      </c>
      <c r="C840" s="4" t="s">
        <v>300</v>
      </c>
      <c r="D840" s="4" t="str">
        <f t="shared" si="1"/>
        <v>XGBoost</v>
      </c>
      <c r="E840" s="4">
        <f t="shared" si="2"/>
        <v>60.17142857</v>
      </c>
      <c r="F840" s="4">
        <f t="shared" si="3"/>
        <v>21.17142857</v>
      </c>
      <c r="G840" s="4">
        <f t="shared" si="4"/>
        <v>60</v>
      </c>
      <c r="H840" s="4" t="str">
        <f t="shared" si="5"/>
        <v>Binh thuong</v>
      </c>
    </row>
    <row r="841" ht="14.25" customHeight="1">
      <c r="A841" s="4" t="s">
        <v>857</v>
      </c>
      <c r="B841" s="4">
        <v>324.0</v>
      </c>
      <c r="C841" s="4" t="s">
        <v>300</v>
      </c>
      <c r="D841" s="4" t="str">
        <f t="shared" si="1"/>
        <v>XGBoost</v>
      </c>
      <c r="E841" s="4">
        <f t="shared" si="2"/>
        <v>55.54285714</v>
      </c>
      <c r="F841" s="4">
        <f t="shared" si="3"/>
        <v>19.54285714</v>
      </c>
      <c r="G841" s="4">
        <f t="shared" si="4"/>
        <v>56</v>
      </c>
      <c r="H841" s="4" t="str">
        <f t="shared" si="5"/>
        <v>Binh thuong</v>
      </c>
    </row>
    <row r="842" ht="14.25" customHeight="1">
      <c r="A842" s="4" t="s">
        <v>858</v>
      </c>
      <c r="B842" s="4">
        <v>318.0</v>
      </c>
      <c r="C842" s="4" t="s">
        <v>300</v>
      </c>
      <c r="D842" s="4" t="str">
        <f t="shared" si="1"/>
        <v>XGBoost</v>
      </c>
      <c r="E842" s="4">
        <f t="shared" si="2"/>
        <v>54.51428571</v>
      </c>
      <c r="F842" s="4">
        <f t="shared" si="3"/>
        <v>19.18095238</v>
      </c>
      <c r="G842" s="4">
        <f t="shared" si="4"/>
        <v>55</v>
      </c>
      <c r="H842" s="4" t="str">
        <f t="shared" si="5"/>
        <v>Binh thuong</v>
      </c>
    </row>
    <row r="843" ht="14.25" customHeight="1">
      <c r="A843" s="4" t="s">
        <v>859</v>
      </c>
      <c r="B843" s="4">
        <v>301.0</v>
      </c>
      <c r="C843" s="4" t="s">
        <v>300</v>
      </c>
      <c r="D843" s="4" t="str">
        <f t="shared" si="1"/>
        <v>XGBoost</v>
      </c>
      <c r="E843" s="4">
        <f t="shared" si="2"/>
        <v>51.6</v>
      </c>
      <c r="F843" s="4">
        <f t="shared" si="3"/>
        <v>18.15555556</v>
      </c>
      <c r="G843" s="4">
        <f t="shared" si="4"/>
        <v>52</v>
      </c>
      <c r="H843" s="4" t="str">
        <f t="shared" si="5"/>
        <v>Binh thuong</v>
      </c>
    </row>
    <row r="844" ht="14.25" customHeight="1">
      <c r="A844" s="4" t="s">
        <v>860</v>
      </c>
      <c r="B844" s="4">
        <v>296.0</v>
      </c>
      <c r="C844" s="4" t="s">
        <v>300</v>
      </c>
      <c r="D844" s="4" t="str">
        <f t="shared" si="1"/>
        <v>XGBoost</v>
      </c>
      <c r="E844" s="4">
        <f t="shared" si="2"/>
        <v>50.74285714</v>
      </c>
      <c r="F844" s="4">
        <f t="shared" si="3"/>
        <v>17.85396825</v>
      </c>
      <c r="G844" s="4">
        <f t="shared" si="4"/>
        <v>51</v>
      </c>
      <c r="H844" s="4" t="str">
        <f t="shared" si="5"/>
        <v>Binh thuong</v>
      </c>
    </row>
    <row r="845" ht="14.25" customHeight="1">
      <c r="A845" s="4" t="s">
        <v>861</v>
      </c>
      <c r="B845" s="4">
        <v>281.0</v>
      </c>
      <c r="C845" s="4" t="s">
        <v>300</v>
      </c>
      <c r="D845" s="4" t="str">
        <f t="shared" si="1"/>
        <v>XGBoost</v>
      </c>
      <c r="E845" s="4">
        <f t="shared" si="2"/>
        <v>48.17142857</v>
      </c>
      <c r="F845" s="4">
        <f t="shared" si="3"/>
        <v>16.94920635</v>
      </c>
      <c r="G845" s="4">
        <f t="shared" si="4"/>
        <v>48</v>
      </c>
      <c r="H845" s="4" t="str">
        <f t="shared" si="5"/>
        <v>Binh thuong</v>
      </c>
    </row>
    <row r="846" ht="14.25" customHeight="1">
      <c r="A846" s="4" t="s">
        <v>862</v>
      </c>
      <c r="B846" s="4">
        <v>274.0</v>
      </c>
      <c r="C846" s="4" t="s">
        <v>300</v>
      </c>
      <c r="D846" s="4" t="str">
        <f t="shared" si="1"/>
        <v>XGBoost</v>
      </c>
      <c r="E846" s="4">
        <f t="shared" si="2"/>
        <v>46.97142857</v>
      </c>
      <c r="F846" s="4">
        <f t="shared" si="3"/>
        <v>16.52698413</v>
      </c>
      <c r="G846" s="4">
        <f t="shared" si="4"/>
        <v>47</v>
      </c>
      <c r="H846" s="4" t="str">
        <f t="shared" si="5"/>
        <v>Binh thuong</v>
      </c>
    </row>
    <row r="847" ht="14.25" customHeight="1">
      <c r="A847" s="4" t="s">
        <v>863</v>
      </c>
      <c r="B847" s="4">
        <v>232.0</v>
      </c>
      <c r="C847" s="4" t="s">
        <v>300</v>
      </c>
      <c r="D847" s="4" t="str">
        <f t="shared" si="1"/>
        <v>XGBoost</v>
      </c>
      <c r="E847" s="4">
        <f t="shared" si="2"/>
        <v>39.77142857</v>
      </c>
      <c r="F847" s="4">
        <f t="shared" si="3"/>
        <v>13.99365079</v>
      </c>
      <c r="G847" s="4">
        <f t="shared" si="4"/>
        <v>40</v>
      </c>
      <c r="H847" s="4" t="str">
        <f t="shared" si="5"/>
        <v>Binh thuong</v>
      </c>
    </row>
    <row r="848" ht="14.25" customHeight="1">
      <c r="A848" s="4" t="s">
        <v>864</v>
      </c>
      <c r="B848" s="4">
        <v>207.0</v>
      </c>
      <c r="C848" s="4" t="s">
        <v>300</v>
      </c>
      <c r="D848" s="4" t="str">
        <f t="shared" si="1"/>
        <v>XGBoost</v>
      </c>
      <c r="E848" s="4">
        <f t="shared" si="2"/>
        <v>35.48571429</v>
      </c>
      <c r="F848" s="4">
        <f t="shared" si="3"/>
        <v>12.48571429</v>
      </c>
      <c r="G848" s="4">
        <f t="shared" si="4"/>
        <v>35</v>
      </c>
      <c r="H848" s="4" t="str">
        <f t="shared" si="5"/>
        <v>Binh thuong</v>
      </c>
    </row>
    <row r="849" ht="14.25" customHeight="1">
      <c r="A849" s="4" t="s">
        <v>865</v>
      </c>
      <c r="B849" s="4">
        <v>181.0</v>
      </c>
      <c r="C849" s="4" t="s">
        <v>300</v>
      </c>
      <c r="D849" s="4" t="str">
        <f t="shared" si="1"/>
        <v>XGBoost</v>
      </c>
      <c r="E849" s="4">
        <f t="shared" si="2"/>
        <v>31.02857143</v>
      </c>
      <c r="F849" s="4">
        <f t="shared" si="3"/>
        <v>10.91746032</v>
      </c>
      <c r="G849" s="4">
        <f t="shared" si="4"/>
        <v>31</v>
      </c>
      <c r="H849" s="4" t="str">
        <f t="shared" si="5"/>
        <v>Binh thuong</v>
      </c>
    </row>
    <row r="850" ht="14.25" customHeight="1">
      <c r="A850" s="4" t="s">
        <v>866</v>
      </c>
      <c r="B850" s="4">
        <v>152.0</v>
      </c>
      <c r="C850" s="4" t="s">
        <v>300</v>
      </c>
      <c r="D850" s="4" t="str">
        <f t="shared" si="1"/>
        <v>XGBoost</v>
      </c>
      <c r="E850" s="4">
        <f t="shared" si="2"/>
        <v>26.05714286</v>
      </c>
      <c r="F850" s="4">
        <f t="shared" si="3"/>
        <v>9.168253968</v>
      </c>
      <c r="G850" s="4">
        <f t="shared" si="4"/>
        <v>26</v>
      </c>
      <c r="H850" s="4" t="str">
        <f t="shared" si="5"/>
        <v>Binh thuong</v>
      </c>
    </row>
    <row r="851" ht="14.25" customHeight="1">
      <c r="A851" s="4" t="s">
        <v>867</v>
      </c>
      <c r="B851" s="4">
        <v>144.0</v>
      </c>
      <c r="C851" s="4" t="s">
        <v>300</v>
      </c>
      <c r="D851" s="4" t="str">
        <f t="shared" si="1"/>
        <v>XGBoost</v>
      </c>
      <c r="E851" s="4">
        <f t="shared" si="2"/>
        <v>24.68571429</v>
      </c>
      <c r="F851" s="4">
        <f t="shared" si="3"/>
        <v>8.685714286</v>
      </c>
      <c r="G851" s="4">
        <f t="shared" si="4"/>
        <v>25</v>
      </c>
      <c r="H851" s="4" t="str">
        <f t="shared" si="5"/>
        <v>Binh thuong</v>
      </c>
    </row>
    <row r="852" ht="14.25" customHeight="1">
      <c r="A852" s="4" t="s">
        <v>868</v>
      </c>
      <c r="B852" s="4">
        <v>131.0</v>
      </c>
      <c r="C852" s="4" t="s">
        <v>300</v>
      </c>
      <c r="D852" s="4" t="str">
        <f t="shared" si="1"/>
        <v>XGBoost</v>
      </c>
      <c r="E852" s="4">
        <f t="shared" si="2"/>
        <v>22.45714286</v>
      </c>
      <c r="F852" s="4">
        <f t="shared" si="3"/>
        <v>7.901587302</v>
      </c>
      <c r="G852" s="4">
        <f t="shared" si="4"/>
        <v>22</v>
      </c>
      <c r="H852" s="4" t="str">
        <f t="shared" si="5"/>
        <v>Binh thuong</v>
      </c>
    </row>
    <row r="853" ht="14.25" customHeight="1">
      <c r="A853" s="4" t="s">
        <v>869</v>
      </c>
      <c r="B853" s="4">
        <v>107.0</v>
      </c>
      <c r="C853" s="4" t="s">
        <v>300</v>
      </c>
      <c r="D853" s="4" t="str">
        <f t="shared" si="1"/>
        <v>XGBoost</v>
      </c>
      <c r="E853" s="4">
        <f t="shared" si="2"/>
        <v>18.34285714</v>
      </c>
      <c r="F853" s="4">
        <f t="shared" si="3"/>
        <v>6.453968254</v>
      </c>
      <c r="G853" s="4">
        <f t="shared" si="4"/>
        <v>18</v>
      </c>
      <c r="H853" s="4" t="str">
        <f t="shared" si="5"/>
        <v>Binh thuong</v>
      </c>
    </row>
    <row r="854" ht="14.25" customHeight="1">
      <c r="A854" s="4" t="s">
        <v>870</v>
      </c>
      <c r="B854" s="4">
        <v>101.0</v>
      </c>
      <c r="C854" s="4" t="s">
        <v>300</v>
      </c>
      <c r="D854" s="4" t="str">
        <f t="shared" si="1"/>
        <v>XGBoost</v>
      </c>
      <c r="E854" s="4">
        <f t="shared" si="2"/>
        <v>17.31428571</v>
      </c>
      <c r="F854" s="4">
        <f t="shared" si="3"/>
        <v>6.092063492</v>
      </c>
      <c r="G854" s="4">
        <f t="shared" si="4"/>
        <v>17</v>
      </c>
      <c r="H854" s="4" t="str">
        <f t="shared" si="5"/>
        <v>Binh thuong</v>
      </c>
    </row>
    <row r="855" ht="14.25" customHeight="1">
      <c r="A855" s="4" t="s">
        <v>871</v>
      </c>
      <c r="B855" s="4">
        <v>84.0</v>
      </c>
      <c r="C855" s="4" t="s">
        <v>300</v>
      </c>
      <c r="D855" s="4" t="str">
        <f t="shared" si="1"/>
        <v>XGBoost</v>
      </c>
      <c r="E855" s="4">
        <f t="shared" si="2"/>
        <v>14.4</v>
      </c>
      <c r="F855" s="4">
        <f t="shared" si="3"/>
        <v>5.066666667</v>
      </c>
      <c r="G855" s="4">
        <f t="shared" si="4"/>
        <v>14</v>
      </c>
      <c r="H855" s="4" t="str">
        <f t="shared" si="5"/>
        <v>Binh thuong</v>
      </c>
    </row>
    <row r="856" ht="14.25" customHeight="1">
      <c r="A856" s="4" t="s">
        <v>872</v>
      </c>
      <c r="B856" s="4">
        <v>83.0</v>
      </c>
      <c r="C856" s="4" t="s">
        <v>300</v>
      </c>
      <c r="D856" s="4" t="str">
        <f t="shared" si="1"/>
        <v>XGBoost</v>
      </c>
      <c r="E856" s="4">
        <f t="shared" si="2"/>
        <v>14.22857143</v>
      </c>
      <c r="F856" s="4">
        <f t="shared" si="3"/>
        <v>5.006349206</v>
      </c>
      <c r="G856" s="4">
        <f t="shared" si="4"/>
        <v>14</v>
      </c>
      <c r="H856" s="4" t="str">
        <f t="shared" si="5"/>
        <v>Binh thuong</v>
      </c>
    </row>
    <row r="857" ht="14.25" customHeight="1">
      <c r="A857" s="4" t="s">
        <v>873</v>
      </c>
      <c r="B857" s="4">
        <v>81.0</v>
      </c>
      <c r="C857" s="4" t="s">
        <v>300</v>
      </c>
      <c r="D857" s="4" t="str">
        <f t="shared" si="1"/>
        <v>XGBoost</v>
      </c>
      <c r="E857" s="4">
        <f t="shared" si="2"/>
        <v>13.88571429</v>
      </c>
      <c r="F857" s="4">
        <f t="shared" si="3"/>
        <v>4.885714286</v>
      </c>
      <c r="G857" s="4">
        <f t="shared" si="4"/>
        <v>14</v>
      </c>
      <c r="H857" s="4" t="str">
        <f t="shared" si="5"/>
        <v>Binh thuong</v>
      </c>
    </row>
    <row r="858" ht="14.25" customHeight="1">
      <c r="A858" s="4" t="s">
        <v>874</v>
      </c>
      <c r="B858" s="4">
        <v>59.0</v>
      </c>
      <c r="C858" s="4" t="s">
        <v>300</v>
      </c>
      <c r="D858" s="4" t="str">
        <f t="shared" si="1"/>
        <v>XGBoost</v>
      </c>
      <c r="E858" s="4">
        <f t="shared" si="2"/>
        <v>10.11428571</v>
      </c>
      <c r="F858" s="4">
        <f t="shared" si="3"/>
        <v>3.558730159</v>
      </c>
      <c r="G858" s="4">
        <f t="shared" si="4"/>
        <v>10</v>
      </c>
      <c r="H858" s="4" t="str">
        <f t="shared" si="5"/>
        <v>Binh thuong</v>
      </c>
    </row>
    <row r="859" ht="14.25" customHeight="1">
      <c r="A859" s="4" t="s">
        <v>875</v>
      </c>
      <c r="B859" s="4">
        <v>56.0</v>
      </c>
      <c r="C859" s="4" t="s">
        <v>300</v>
      </c>
      <c r="D859" s="4" t="str">
        <f t="shared" si="1"/>
        <v>XGBoost</v>
      </c>
      <c r="E859" s="4">
        <f t="shared" si="2"/>
        <v>9.6</v>
      </c>
      <c r="F859" s="4">
        <f t="shared" si="3"/>
        <v>3.377777778</v>
      </c>
      <c r="G859" s="4">
        <f t="shared" si="4"/>
        <v>10</v>
      </c>
      <c r="H859" s="4" t="str">
        <f t="shared" si="5"/>
        <v>Binh thuong</v>
      </c>
    </row>
    <row r="860" ht="14.25" customHeight="1">
      <c r="A860" s="4" t="s">
        <v>876</v>
      </c>
      <c r="B860" s="4">
        <v>54.0</v>
      </c>
      <c r="C860" s="4" t="s">
        <v>300</v>
      </c>
      <c r="D860" s="4" t="str">
        <f t="shared" si="1"/>
        <v>XGBoost</v>
      </c>
      <c r="E860" s="4">
        <f t="shared" si="2"/>
        <v>9.257142857</v>
      </c>
      <c r="F860" s="4">
        <f t="shared" si="3"/>
        <v>3.257142857</v>
      </c>
      <c r="G860" s="4">
        <f t="shared" si="4"/>
        <v>9</v>
      </c>
      <c r="H860" s="4" t="str">
        <f t="shared" si="5"/>
        <v>Binh thuong</v>
      </c>
    </row>
    <row r="861" ht="14.25" customHeight="1">
      <c r="A861" s="4" t="s">
        <v>877</v>
      </c>
      <c r="B861" s="4">
        <v>51.0</v>
      </c>
      <c r="C861" s="4" t="s">
        <v>300</v>
      </c>
      <c r="D861" s="4" t="str">
        <f t="shared" si="1"/>
        <v>XGBoost</v>
      </c>
      <c r="E861" s="4">
        <f t="shared" si="2"/>
        <v>8.742857143</v>
      </c>
      <c r="F861" s="4">
        <f t="shared" si="3"/>
        <v>3.076190476</v>
      </c>
      <c r="G861" s="4">
        <f t="shared" si="4"/>
        <v>9</v>
      </c>
      <c r="H861" s="4" t="str">
        <f t="shared" si="5"/>
        <v>Binh thuong</v>
      </c>
    </row>
    <row r="862" ht="14.25" customHeight="1">
      <c r="A862" s="4" t="s">
        <v>878</v>
      </c>
      <c r="B862" s="4">
        <v>50.0</v>
      </c>
      <c r="C862" s="4" t="s">
        <v>300</v>
      </c>
      <c r="D862" s="4" t="str">
        <f t="shared" si="1"/>
        <v>XGBoost</v>
      </c>
      <c r="E862" s="4">
        <f t="shared" si="2"/>
        <v>8.571428571</v>
      </c>
      <c r="F862" s="4">
        <f t="shared" si="3"/>
        <v>3.015873016</v>
      </c>
      <c r="G862" s="4">
        <f t="shared" si="4"/>
        <v>9</v>
      </c>
      <c r="H862" s="4" t="str">
        <f t="shared" si="5"/>
        <v>Binh thuong</v>
      </c>
    </row>
    <row r="863" ht="14.25" customHeight="1">
      <c r="A863" s="4" t="s">
        <v>879</v>
      </c>
      <c r="B863" s="4">
        <v>40.0</v>
      </c>
      <c r="C863" s="4" t="s">
        <v>300</v>
      </c>
      <c r="D863" s="4" t="str">
        <f t="shared" si="1"/>
        <v>XGBoost</v>
      </c>
      <c r="E863" s="4">
        <f t="shared" si="2"/>
        <v>6.857142857</v>
      </c>
      <c r="F863" s="4">
        <f t="shared" si="3"/>
        <v>2.412698413</v>
      </c>
      <c r="G863" s="4">
        <f t="shared" si="4"/>
        <v>7</v>
      </c>
      <c r="H863" s="4" t="str">
        <f t="shared" si="5"/>
        <v>Binh thuong</v>
      </c>
    </row>
    <row r="864" ht="14.25" customHeight="1">
      <c r="A864" s="4" t="s">
        <v>880</v>
      </c>
      <c r="B864" s="4">
        <v>36.0</v>
      </c>
      <c r="C864" s="4" t="s">
        <v>300</v>
      </c>
      <c r="D864" s="4" t="str">
        <f t="shared" si="1"/>
        <v>XGBoost</v>
      </c>
      <c r="E864" s="4">
        <f t="shared" si="2"/>
        <v>6.171428571</v>
      </c>
      <c r="F864" s="4">
        <f t="shared" si="3"/>
        <v>2.171428571</v>
      </c>
      <c r="G864" s="4">
        <f t="shared" si="4"/>
        <v>6</v>
      </c>
      <c r="H864" s="4" t="str">
        <f t="shared" si="5"/>
        <v>Binh thuong</v>
      </c>
    </row>
    <row r="865" ht="14.25" customHeight="1">
      <c r="A865" s="4" t="s">
        <v>881</v>
      </c>
      <c r="B865" s="4">
        <v>32.0</v>
      </c>
      <c r="C865" s="4" t="s">
        <v>300</v>
      </c>
      <c r="D865" s="4" t="str">
        <f t="shared" si="1"/>
        <v>XGBoost</v>
      </c>
      <c r="E865" s="4">
        <f t="shared" si="2"/>
        <v>5.485714286</v>
      </c>
      <c r="F865" s="4">
        <f t="shared" si="3"/>
        <v>1.93015873</v>
      </c>
      <c r="G865" s="4">
        <f t="shared" si="4"/>
        <v>5</v>
      </c>
      <c r="H865" s="4" t="str">
        <f t="shared" si="5"/>
        <v>Binh thuong</v>
      </c>
    </row>
    <row r="866" ht="14.25" customHeight="1">
      <c r="A866" s="4" t="s">
        <v>882</v>
      </c>
      <c r="B866" s="4">
        <v>22.0</v>
      </c>
      <c r="C866" s="4" t="s">
        <v>300</v>
      </c>
      <c r="D866" s="4" t="str">
        <f t="shared" si="1"/>
        <v>XGBoost</v>
      </c>
      <c r="E866" s="4">
        <f t="shared" si="2"/>
        <v>3.771428571</v>
      </c>
      <c r="F866" s="4">
        <f t="shared" si="3"/>
        <v>1.326984127</v>
      </c>
      <c r="G866" s="4">
        <f t="shared" si="4"/>
        <v>4</v>
      </c>
      <c r="H866" s="4" t="str">
        <f t="shared" si="5"/>
        <v>Binh thuong</v>
      </c>
    </row>
    <row r="867" ht="14.25" customHeight="1">
      <c r="A867" s="4" t="s">
        <v>883</v>
      </c>
      <c r="B867" s="4">
        <v>14.0</v>
      </c>
      <c r="C867" s="4" t="s">
        <v>300</v>
      </c>
      <c r="D867" s="4" t="str">
        <f t="shared" si="1"/>
        <v>XGBoost</v>
      </c>
      <c r="E867" s="4">
        <f t="shared" si="2"/>
        <v>2.4</v>
      </c>
      <c r="F867" s="4">
        <f t="shared" si="3"/>
        <v>0.8444444444</v>
      </c>
      <c r="G867" s="4">
        <f t="shared" si="4"/>
        <v>2</v>
      </c>
      <c r="H867" s="4" t="str">
        <f t="shared" si="5"/>
        <v>Binh thuong</v>
      </c>
    </row>
    <row r="868" ht="14.25" customHeight="1">
      <c r="A868" s="4" t="s">
        <v>884</v>
      </c>
      <c r="B868" s="4">
        <v>10.0</v>
      </c>
      <c r="C868" s="4" t="s">
        <v>300</v>
      </c>
      <c r="D868" s="4" t="str">
        <f t="shared" si="1"/>
        <v>XGBoost</v>
      </c>
      <c r="E868" s="4">
        <f t="shared" si="2"/>
        <v>1.714285714</v>
      </c>
      <c r="F868" s="4">
        <f t="shared" si="3"/>
        <v>0.6031746032</v>
      </c>
      <c r="G868" s="4">
        <f t="shared" si="4"/>
        <v>2</v>
      </c>
      <c r="H868" s="4" t="str">
        <f t="shared" si="5"/>
        <v>Binh thuong</v>
      </c>
    </row>
    <row r="869" ht="14.25" customHeight="1">
      <c r="A869" s="4" t="s">
        <v>885</v>
      </c>
      <c r="B869" s="4">
        <v>4645.0</v>
      </c>
      <c r="C869" s="4" t="s">
        <v>886</v>
      </c>
      <c r="D869" s="4" t="str">
        <f t="shared" si="1"/>
        <v>MA3</v>
      </c>
      <c r="E869" s="4">
        <f t="shared" si="2"/>
        <v>387.0833333</v>
      </c>
      <c r="F869" s="4">
        <f t="shared" si="3"/>
        <v>129.0277778</v>
      </c>
      <c r="G869" s="4">
        <f t="shared" si="4"/>
        <v>387</v>
      </c>
      <c r="H869" s="4" t="str">
        <f t="shared" si="5"/>
        <v>Binh thuong</v>
      </c>
    </row>
    <row r="870" ht="14.25" customHeight="1">
      <c r="A870" s="4" t="s">
        <v>887</v>
      </c>
      <c r="B870" s="4">
        <v>7683.0</v>
      </c>
      <c r="C870" s="4" t="s">
        <v>886</v>
      </c>
      <c r="D870" s="4" t="str">
        <f t="shared" si="1"/>
        <v>MA3</v>
      </c>
      <c r="E870" s="4">
        <f t="shared" si="2"/>
        <v>640.25</v>
      </c>
      <c r="F870" s="4">
        <f t="shared" si="3"/>
        <v>213.4166667</v>
      </c>
      <c r="G870" s="4">
        <f t="shared" si="4"/>
        <v>640</v>
      </c>
      <c r="H870" s="4" t="str">
        <f t="shared" si="5"/>
        <v>Binh thuong</v>
      </c>
    </row>
    <row r="871" ht="14.25" customHeight="1">
      <c r="A871" s="4" t="s">
        <v>888</v>
      </c>
      <c r="B871" s="4">
        <v>1298.0</v>
      </c>
      <c r="C871" s="4" t="s">
        <v>886</v>
      </c>
      <c r="D871" s="4" t="str">
        <f t="shared" si="1"/>
        <v>MA3</v>
      </c>
      <c r="E871" s="4">
        <f t="shared" si="2"/>
        <v>108.1666667</v>
      </c>
      <c r="F871" s="4">
        <f t="shared" si="3"/>
        <v>36.05555556</v>
      </c>
      <c r="G871" s="4">
        <f t="shared" si="4"/>
        <v>108</v>
      </c>
      <c r="H871" s="4" t="str">
        <f t="shared" si="5"/>
        <v>Binh thuong</v>
      </c>
    </row>
    <row r="872" ht="14.25" customHeight="1">
      <c r="A872" s="4" t="s">
        <v>889</v>
      </c>
      <c r="B872" s="4">
        <v>1165.0</v>
      </c>
      <c r="C872" s="4" t="s">
        <v>886</v>
      </c>
      <c r="D872" s="4" t="str">
        <f t="shared" si="1"/>
        <v>MA3</v>
      </c>
      <c r="E872" s="4">
        <f t="shared" si="2"/>
        <v>97.08333333</v>
      </c>
      <c r="F872" s="4">
        <f t="shared" si="3"/>
        <v>32.36111111</v>
      </c>
      <c r="G872" s="4">
        <f t="shared" si="4"/>
        <v>97</v>
      </c>
      <c r="H872" s="4" t="str">
        <f t="shared" si="5"/>
        <v>Binh thuong</v>
      </c>
    </row>
    <row r="873" ht="14.25" customHeight="1">
      <c r="A873" s="4" t="s">
        <v>890</v>
      </c>
      <c r="B873" s="4">
        <v>2344.0</v>
      </c>
      <c r="C873" s="4" t="s">
        <v>886</v>
      </c>
      <c r="D873" s="4" t="str">
        <f t="shared" si="1"/>
        <v>MA3</v>
      </c>
      <c r="E873" s="4">
        <f t="shared" si="2"/>
        <v>195.3333333</v>
      </c>
      <c r="F873" s="4">
        <f t="shared" si="3"/>
        <v>65.11111111</v>
      </c>
      <c r="G873" s="4">
        <f t="shared" si="4"/>
        <v>195</v>
      </c>
      <c r="H873" s="4" t="str">
        <f t="shared" si="5"/>
        <v>Binh thuong</v>
      </c>
    </row>
    <row r="874" ht="14.25" customHeight="1">
      <c r="A874" s="4" t="s">
        <v>891</v>
      </c>
      <c r="B874" s="4">
        <v>444.0</v>
      </c>
      <c r="C874" s="4" t="s">
        <v>886</v>
      </c>
      <c r="D874" s="4" t="str">
        <f t="shared" si="1"/>
        <v>MA3</v>
      </c>
      <c r="E874" s="4">
        <f t="shared" si="2"/>
        <v>37</v>
      </c>
      <c r="F874" s="4">
        <f t="shared" si="3"/>
        <v>12.33333333</v>
      </c>
      <c r="G874" s="4">
        <f t="shared" si="4"/>
        <v>37</v>
      </c>
      <c r="H874" s="4" t="str">
        <f t="shared" si="5"/>
        <v>Binh thuong</v>
      </c>
    </row>
    <row r="875" ht="14.25" customHeight="1">
      <c r="A875" s="4" t="s">
        <v>892</v>
      </c>
      <c r="B875" s="4">
        <v>1768.0</v>
      </c>
      <c r="C875" s="4" t="s">
        <v>886</v>
      </c>
      <c r="D875" s="4" t="str">
        <f t="shared" si="1"/>
        <v>MA3</v>
      </c>
      <c r="E875" s="4">
        <f t="shared" si="2"/>
        <v>147.3333333</v>
      </c>
      <c r="F875" s="4">
        <f t="shared" si="3"/>
        <v>49.11111111</v>
      </c>
      <c r="G875" s="4">
        <f t="shared" si="4"/>
        <v>147</v>
      </c>
      <c r="H875" s="4" t="str">
        <f t="shared" si="5"/>
        <v>Binh thuong</v>
      </c>
    </row>
    <row r="876" ht="14.25" customHeight="1">
      <c r="A876" s="4" t="s">
        <v>893</v>
      </c>
      <c r="B876" s="4">
        <v>4743.0</v>
      </c>
      <c r="C876" s="4" t="s">
        <v>886</v>
      </c>
      <c r="D876" s="4" t="str">
        <f t="shared" si="1"/>
        <v>MA3</v>
      </c>
      <c r="E876" s="4">
        <f t="shared" si="2"/>
        <v>395.25</v>
      </c>
      <c r="F876" s="4">
        <f t="shared" si="3"/>
        <v>131.75</v>
      </c>
      <c r="G876" s="4">
        <f t="shared" si="4"/>
        <v>395</v>
      </c>
      <c r="H876" s="4" t="str">
        <f t="shared" si="5"/>
        <v>Binh thuong</v>
      </c>
    </row>
    <row r="877" ht="14.25" customHeight="1">
      <c r="A877" s="4" t="s">
        <v>894</v>
      </c>
      <c r="B877" s="4">
        <v>34448.0</v>
      </c>
      <c r="C877" s="4" t="s">
        <v>886</v>
      </c>
      <c r="D877" s="4" t="str">
        <f t="shared" si="1"/>
        <v>MA3</v>
      </c>
      <c r="E877" s="4">
        <f t="shared" si="2"/>
        <v>2870.666667</v>
      </c>
      <c r="F877" s="4">
        <f t="shared" si="3"/>
        <v>956.8888889</v>
      </c>
      <c r="G877" s="4">
        <f t="shared" si="4"/>
        <v>2871</v>
      </c>
      <c r="H877" s="4" t="str">
        <f t="shared" si="5"/>
        <v>Binh thuong</v>
      </c>
    </row>
    <row r="878" ht="14.25" customHeight="1">
      <c r="A878" s="4" t="s">
        <v>895</v>
      </c>
      <c r="B878" s="4">
        <v>38961.0</v>
      </c>
      <c r="C878" s="4" t="s">
        <v>886</v>
      </c>
      <c r="D878" s="4" t="str">
        <f t="shared" si="1"/>
        <v>MA3</v>
      </c>
      <c r="E878" s="4">
        <f t="shared" si="2"/>
        <v>3246.75</v>
      </c>
      <c r="F878" s="4">
        <f t="shared" si="3"/>
        <v>1082.25</v>
      </c>
      <c r="G878" s="4">
        <f t="shared" si="4"/>
        <v>3247</v>
      </c>
      <c r="H878" s="4" t="str">
        <f t="shared" si="5"/>
        <v>Binh thuong</v>
      </c>
    </row>
    <row r="879" ht="14.25" customHeight="1">
      <c r="A879" s="4" t="s">
        <v>896</v>
      </c>
      <c r="B879" s="4">
        <v>24488.0</v>
      </c>
      <c r="C879" s="4" t="s">
        <v>886</v>
      </c>
      <c r="D879" s="4" t="str">
        <f t="shared" si="1"/>
        <v>MA3</v>
      </c>
      <c r="E879" s="4">
        <f t="shared" si="2"/>
        <v>2040.666667</v>
      </c>
      <c r="F879" s="4">
        <f t="shared" si="3"/>
        <v>680.2222222</v>
      </c>
      <c r="G879" s="4">
        <f t="shared" si="4"/>
        <v>2041</v>
      </c>
      <c r="H879" s="4" t="str">
        <f t="shared" si="5"/>
        <v>Binh thuong</v>
      </c>
    </row>
    <row r="880" ht="14.25" customHeight="1">
      <c r="A880" s="4" t="s">
        <v>897</v>
      </c>
      <c r="B880" s="4">
        <v>13348.0</v>
      </c>
      <c r="C880" s="4" t="s">
        <v>886</v>
      </c>
      <c r="D880" s="4" t="str">
        <f t="shared" si="1"/>
        <v>MA3</v>
      </c>
      <c r="E880" s="4">
        <f t="shared" si="2"/>
        <v>1112.333333</v>
      </c>
      <c r="F880" s="4">
        <f t="shared" si="3"/>
        <v>370.7777778</v>
      </c>
      <c r="G880" s="4">
        <f t="shared" si="4"/>
        <v>1112</v>
      </c>
      <c r="H880" s="4" t="str">
        <f t="shared" si="5"/>
        <v>Binh thuong</v>
      </c>
    </row>
    <row r="881" ht="14.25" customHeight="1">
      <c r="A881" s="4" t="s">
        <v>898</v>
      </c>
      <c r="B881" s="4">
        <v>38894.0</v>
      </c>
      <c r="C881" s="4" t="s">
        <v>886</v>
      </c>
      <c r="D881" s="4" t="str">
        <f t="shared" si="1"/>
        <v>MA3</v>
      </c>
      <c r="E881" s="4">
        <f t="shared" si="2"/>
        <v>3241.166667</v>
      </c>
      <c r="F881" s="4">
        <f t="shared" si="3"/>
        <v>1080.388889</v>
      </c>
      <c r="G881" s="4">
        <f t="shared" si="4"/>
        <v>3241</v>
      </c>
      <c r="H881" s="4" t="str">
        <f t="shared" si="5"/>
        <v>Binh thuong</v>
      </c>
    </row>
    <row r="882" ht="14.25" customHeight="1">
      <c r="A882" s="4" t="s">
        <v>899</v>
      </c>
      <c r="B882" s="4">
        <v>35741.0</v>
      </c>
      <c r="C882" s="4" t="s">
        <v>886</v>
      </c>
      <c r="D882" s="4" t="str">
        <f t="shared" si="1"/>
        <v>MA3</v>
      </c>
      <c r="E882" s="4">
        <f t="shared" si="2"/>
        <v>2978.416667</v>
      </c>
      <c r="F882" s="4">
        <f t="shared" si="3"/>
        <v>992.8055556</v>
      </c>
      <c r="G882" s="4">
        <f t="shared" si="4"/>
        <v>2978</v>
      </c>
      <c r="H882" s="4" t="str">
        <f t="shared" si="5"/>
        <v>Binh thuong</v>
      </c>
    </row>
    <row r="883" ht="14.25" customHeight="1">
      <c r="A883" s="4" t="s">
        <v>900</v>
      </c>
      <c r="B883" s="4">
        <v>40010.0</v>
      </c>
      <c r="C883" s="4" t="s">
        <v>886</v>
      </c>
      <c r="D883" s="4" t="str">
        <f t="shared" si="1"/>
        <v>MA3</v>
      </c>
      <c r="E883" s="4">
        <f t="shared" si="2"/>
        <v>3334.166667</v>
      </c>
      <c r="F883" s="4">
        <f t="shared" si="3"/>
        <v>1111.388889</v>
      </c>
      <c r="G883" s="4">
        <f t="shared" si="4"/>
        <v>3334</v>
      </c>
      <c r="H883" s="4" t="str">
        <f t="shared" si="5"/>
        <v>Binh thuong</v>
      </c>
    </row>
    <row r="884" ht="14.25" customHeight="1">
      <c r="A884" s="4" t="s">
        <v>901</v>
      </c>
      <c r="B884" s="4">
        <v>20117.0</v>
      </c>
      <c r="C884" s="4" t="s">
        <v>886</v>
      </c>
      <c r="D884" s="4" t="str">
        <f t="shared" si="1"/>
        <v>MA3</v>
      </c>
      <c r="E884" s="4">
        <f t="shared" si="2"/>
        <v>1676.416667</v>
      </c>
      <c r="F884" s="4">
        <f t="shared" si="3"/>
        <v>558.8055556</v>
      </c>
      <c r="G884" s="4">
        <f t="shared" si="4"/>
        <v>1676</v>
      </c>
      <c r="H884" s="4" t="str">
        <f t="shared" si="5"/>
        <v>Binh thuong</v>
      </c>
    </row>
    <row r="885" ht="14.25" customHeight="1">
      <c r="A885" s="4" t="s">
        <v>902</v>
      </c>
      <c r="B885" s="4">
        <v>25174.0</v>
      </c>
      <c r="C885" s="4" t="s">
        <v>886</v>
      </c>
      <c r="D885" s="4" t="str">
        <f t="shared" si="1"/>
        <v>MA3</v>
      </c>
      <c r="E885" s="4">
        <f t="shared" si="2"/>
        <v>2097.833333</v>
      </c>
      <c r="F885" s="4">
        <f t="shared" si="3"/>
        <v>699.2777778</v>
      </c>
      <c r="G885" s="4">
        <f t="shared" si="4"/>
        <v>2098</v>
      </c>
      <c r="H885" s="4" t="str">
        <f t="shared" si="5"/>
        <v>Binh thuong</v>
      </c>
    </row>
    <row r="886" ht="14.25" customHeight="1">
      <c r="A886" s="4" t="s">
        <v>903</v>
      </c>
      <c r="B886" s="4">
        <v>22081.0</v>
      </c>
      <c r="C886" s="4" t="s">
        <v>886</v>
      </c>
      <c r="D886" s="4" t="str">
        <f t="shared" si="1"/>
        <v>MA3</v>
      </c>
      <c r="E886" s="4">
        <f t="shared" si="2"/>
        <v>1840.083333</v>
      </c>
      <c r="F886" s="4">
        <f t="shared" si="3"/>
        <v>613.3611111</v>
      </c>
      <c r="G886" s="4">
        <f t="shared" si="4"/>
        <v>1840</v>
      </c>
      <c r="H886" s="4" t="str">
        <f t="shared" si="5"/>
        <v>Binh thuong</v>
      </c>
    </row>
    <row r="887" ht="14.25" customHeight="1">
      <c r="A887" s="4" t="s">
        <v>904</v>
      </c>
      <c r="B887" s="4">
        <v>19835.0</v>
      </c>
      <c r="C887" s="4" t="s">
        <v>886</v>
      </c>
      <c r="D887" s="4" t="str">
        <f t="shared" si="1"/>
        <v>MA3</v>
      </c>
      <c r="E887" s="4">
        <f t="shared" si="2"/>
        <v>1652.916667</v>
      </c>
      <c r="F887" s="4">
        <f t="shared" si="3"/>
        <v>550.9722222</v>
      </c>
      <c r="G887" s="4">
        <f t="shared" si="4"/>
        <v>1653</v>
      </c>
      <c r="H887" s="4" t="str">
        <f t="shared" si="5"/>
        <v>Binh thuong</v>
      </c>
    </row>
    <row r="888" ht="14.25" customHeight="1">
      <c r="A888" s="4" t="s">
        <v>905</v>
      </c>
      <c r="B888" s="4">
        <v>12113.0</v>
      </c>
      <c r="C888" s="4" t="s">
        <v>886</v>
      </c>
      <c r="D888" s="4" t="str">
        <f t="shared" si="1"/>
        <v>MA3</v>
      </c>
      <c r="E888" s="4">
        <f t="shared" si="2"/>
        <v>1009.416667</v>
      </c>
      <c r="F888" s="4">
        <f t="shared" si="3"/>
        <v>336.4722222</v>
      </c>
      <c r="G888" s="4">
        <f t="shared" si="4"/>
        <v>1009</v>
      </c>
      <c r="H888" s="4" t="str">
        <f t="shared" si="5"/>
        <v>Binh thuong</v>
      </c>
    </row>
    <row r="889" ht="14.25" customHeight="1">
      <c r="A889" s="4" t="s">
        <v>906</v>
      </c>
      <c r="B889" s="4">
        <v>10504.0</v>
      </c>
      <c r="C889" s="4" t="s">
        <v>886</v>
      </c>
      <c r="D889" s="4" t="str">
        <f t="shared" si="1"/>
        <v>MA3</v>
      </c>
      <c r="E889" s="4">
        <f t="shared" si="2"/>
        <v>875.3333333</v>
      </c>
      <c r="F889" s="4">
        <f t="shared" si="3"/>
        <v>291.7777778</v>
      </c>
      <c r="G889" s="4">
        <f t="shared" si="4"/>
        <v>875</v>
      </c>
      <c r="H889" s="4" t="str">
        <f t="shared" si="5"/>
        <v>Binh thuong</v>
      </c>
    </row>
    <row r="890" ht="14.25" customHeight="1">
      <c r="A890" s="4" t="s">
        <v>907</v>
      </c>
      <c r="B890" s="4">
        <v>26271.0</v>
      </c>
      <c r="C890" s="4" t="s">
        <v>886</v>
      </c>
      <c r="D890" s="4" t="str">
        <f t="shared" si="1"/>
        <v>MA3</v>
      </c>
      <c r="E890" s="4">
        <f t="shared" si="2"/>
        <v>2189.25</v>
      </c>
      <c r="F890" s="4">
        <f t="shared" si="3"/>
        <v>729.75</v>
      </c>
      <c r="G890" s="4">
        <f t="shared" si="4"/>
        <v>2189</v>
      </c>
      <c r="H890" s="4" t="str">
        <f t="shared" si="5"/>
        <v>Binh thuong</v>
      </c>
    </row>
    <row r="891" ht="14.25" customHeight="1">
      <c r="A891" s="4" t="s">
        <v>908</v>
      </c>
      <c r="B891" s="4">
        <v>7645.0</v>
      </c>
      <c r="C891" s="4" t="s">
        <v>886</v>
      </c>
      <c r="D891" s="4" t="str">
        <f t="shared" si="1"/>
        <v>MA3</v>
      </c>
      <c r="E891" s="4">
        <f t="shared" si="2"/>
        <v>637.0833333</v>
      </c>
      <c r="F891" s="4">
        <f t="shared" si="3"/>
        <v>212.3611111</v>
      </c>
      <c r="G891" s="4">
        <f t="shared" si="4"/>
        <v>637</v>
      </c>
      <c r="H891" s="4" t="str">
        <f t="shared" si="5"/>
        <v>Binh thuong</v>
      </c>
    </row>
    <row r="892" ht="14.25" customHeight="1">
      <c r="A892" s="4" t="s">
        <v>909</v>
      </c>
      <c r="B892" s="4">
        <v>4476.0</v>
      </c>
      <c r="C892" s="4" t="s">
        <v>886</v>
      </c>
      <c r="D892" s="4" t="str">
        <f t="shared" si="1"/>
        <v>MA3</v>
      </c>
      <c r="E892" s="4">
        <f t="shared" si="2"/>
        <v>373</v>
      </c>
      <c r="F892" s="4">
        <f t="shared" si="3"/>
        <v>124.3333333</v>
      </c>
      <c r="G892" s="4">
        <f t="shared" si="4"/>
        <v>373</v>
      </c>
      <c r="H892" s="4" t="str">
        <f t="shared" si="5"/>
        <v>Binh thuong</v>
      </c>
    </row>
    <row r="893" ht="14.25" customHeight="1">
      <c r="A893" s="4" t="s">
        <v>910</v>
      </c>
      <c r="B893" s="4">
        <v>8991.0</v>
      </c>
      <c r="C893" s="4" t="s">
        <v>886</v>
      </c>
      <c r="D893" s="4" t="str">
        <f t="shared" si="1"/>
        <v>MA3</v>
      </c>
      <c r="E893" s="4">
        <f t="shared" si="2"/>
        <v>749.25</v>
      </c>
      <c r="F893" s="4">
        <f t="shared" si="3"/>
        <v>249.75</v>
      </c>
      <c r="G893" s="4">
        <f t="shared" si="4"/>
        <v>749</v>
      </c>
      <c r="H893" s="4" t="str">
        <f t="shared" si="5"/>
        <v>Binh thuong</v>
      </c>
    </row>
    <row r="894" ht="14.25" customHeight="1">
      <c r="A894" s="4" t="s">
        <v>911</v>
      </c>
      <c r="B894" s="4">
        <v>7846.0</v>
      </c>
      <c r="C894" s="4" t="s">
        <v>886</v>
      </c>
      <c r="D894" s="4" t="str">
        <f t="shared" si="1"/>
        <v>MA3</v>
      </c>
      <c r="E894" s="4">
        <f t="shared" si="2"/>
        <v>653.8333333</v>
      </c>
      <c r="F894" s="4">
        <f t="shared" si="3"/>
        <v>217.9444444</v>
      </c>
      <c r="G894" s="4">
        <f t="shared" si="4"/>
        <v>654</v>
      </c>
      <c r="H894" s="4" t="str">
        <f t="shared" si="5"/>
        <v>Binh thuong</v>
      </c>
    </row>
    <row r="895" ht="14.25" customHeight="1">
      <c r="A895" s="4" t="s">
        <v>912</v>
      </c>
      <c r="B895" s="4">
        <v>6177.0</v>
      </c>
      <c r="C895" s="4" t="s">
        <v>886</v>
      </c>
      <c r="D895" s="4" t="str">
        <f t="shared" si="1"/>
        <v>MA3</v>
      </c>
      <c r="E895" s="4">
        <f t="shared" si="2"/>
        <v>514.75</v>
      </c>
      <c r="F895" s="4">
        <f t="shared" si="3"/>
        <v>171.5833333</v>
      </c>
      <c r="G895" s="4">
        <f t="shared" si="4"/>
        <v>515</v>
      </c>
      <c r="H895" s="4" t="str">
        <f t="shared" si="5"/>
        <v>Binh thuong</v>
      </c>
    </row>
    <row r="896" ht="14.25" customHeight="1">
      <c r="A896" s="4" t="s">
        <v>913</v>
      </c>
      <c r="B896" s="4">
        <v>5435.0</v>
      </c>
      <c r="C896" s="4" t="s">
        <v>886</v>
      </c>
      <c r="D896" s="4" t="str">
        <f t="shared" si="1"/>
        <v>MA3</v>
      </c>
      <c r="E896" s="4">
        <f t="shared" si="2"/>
        <v>452.9166667</v>
      </c>
      <c r="F896" s="4">
        <f t="shared" si="3"/>
        <v>150.9722222</v>
      </c>
      <c r="G896" s="4">
        <f t="shared" si="4"/>
        <v>453</v>
      </c>
      <c r="H896" s="4" t="str">
        <f t="shared" si="5"/>
        <v>Binh thuong</v>
      </c>
    </row>
    <row r="897" ht="14.25" customHeight="1">
      <c r="A897" s="4" t="s">
        <v>914</v>
      </c>
      <c r="B897" s="4">
        <v>8953.0</v>
      </c>
      <c r="C897" s="4" t="s">
        <v>886</v>
      </c>
      <c r="D897" s="4" t="str">
        <f t="shared" si="1"/>
        <v>MA3</v>
      </c>
      <c r="E897" s="4">
        <f t="shared" si="2"/>
        <v>746.0833333</v>
      </c>
      <c r="F897" s="4">
        <f t="shared" si="3"/>
        <v>248.6944444</v>
      </c>
      <c r="G897" s="4">
        <f t="shared" si="4"/>
        <v>746</v>
      </c>
      <c r="H897" s="4" t="str">
        <f t="shared" si="5"/>
        <v>Binh thuong</v>
      </c>
    </row>
    <row r="898" ht="14.25" customHeight="1">
      <c r="A898" s="4" t="s">
        <v>915</v>
      </c>
      <c r="B898" s="4">
        <v>15211.0</v>
      </c>
      <c r="C898" s="4" t="s">
        <v>886</v>
      </c>
      <c r="D898" s="4" t="str">
        <f t="shared" si="1"/>
        <v>MA3</v>
      </c>
      <c r="E898" s="4">
        <f t="shared" si="2"/>
        <v>1267.583333</v>
      </c>
      <c r="F898" s="4">
        <f t="shared" si="3"/>
        <v>422.5277778</v>
      </c>
      <c r="G898" s="4">
        <f t="shared" si="4"/>
        <v>1268</v>
      </c>
      <c r="H898" s="4" t="str">
        <f t="shared" si="5"/>
        <v>Binh thuong</v>
      </c>
    </row>
    <row r="899" ht="14.25" customHeight="1">
      <c r="A899" s="4" t="s">
        <v>916</v>
      </c>
      <c r="B899" s="4">
        <v>7122.0</v>
      </c>
      <c r="C899" s="4" t="s">
        <v>886</v>
      </c>
      <c r="D899" s="4" t="str">
        <f t="shared" si="1"/>
        <v>MA3</v>
      </c>
      <c r="E899" s="4">
        <f t="shared" si="2"/>
        <v>593.5</v>
      </c>
      <c r="F899" s="4">
        <f t="shared" si="3"/>
        <v>197.8333333</v>
      </c>
      <c r="G899" s="4">
        <f t="shared" si="4"/>
        <v>594</v>
      </c>
      <c r="H899" s="4" t="str">
        <f t="shared" si="5"/>
        <v>Binh thuong</v>
      </c>
    </row>
    <row r="900" ht="14.25" customHeight="1">
      <c r="A900" s="4" t="s">
        <v>917</v>
      </c>
      <c r="B900" s="4">
        <v>9844.0</v>
      </c>
      <c r="C900" s="4" t="s">
        <v>886</v>
      </c>
      <c r="D900" s="4" t="str">
        <f t="shared" si="1"/>
        <v>MA3</v>
      </c>
      <c r="E900" s="4">
        <f t="shared" si="2"/>
        <v>820.3333333</v>
      </c>
      <c r="F900" s="4">
        <f t="shared" si="3"/>
        <v>273.4444444</v>
      </c>
      <c r="G900" s="4">
        <f t="shared" si="4"/>
        <v>820</v>
      </c>
      <c r="H900" s="4" t="str">
        <f t="shared" si="5"/>
        <v>Binh thuong</v>
      </c>
    </row>
    <row r="901" ht="14.25" customHeight="1">
      <c r="A901" s="4" t="s">
        <v>918</v>
      </c>
      <c r="B901" s="4">
        <v>3147.0</v>
      </c>
      <c r="C901" s="4" t="s">
        <v>886</v>
      </c>
      <c r="D901" s="4" t="str">
        <f t="shared" si="1"/>
        <v>MA3</v>
      </c>
      <c r="E901" s="4">
        <f t="shared" si="2"/>
        <v>262.25</v>
      </c>
      <c r="F901" s="4">
        <f t="shared" si="3"/>
        <v>87.41666667</v>
      </c>
      <c r="G901" s="4">
        <f t="shared" si="4"/>
        <v>262</v>
      </c>
      <c r="H901" s="4" t="str">
        <f t="shared" si="5"/>
        <v>Binh thuong</v>
      </c>
    </row>
    <row r="902" ht="14.25" customHeight="1">
      <c r="A902" s="4" t="s">
        <v>919</v>
      </c>
      <c r="B902" s="4">
        <v>6632.0</v>
      </c>
      <c r="C902" s="4" t="s">
        <v>886</v>
      </c>
      <c r="D902" s="4" t="str">
        <f t="shared" si="1"/>
        <v>MA3</v>
      </c>
      <c r="E902" s="4">
        <f t="shared" si="2"/>
        <v>552.6666667</v>
      </c>
      <c r="F902" s="4">
        <f t="shared" si="3"/>
        <v>184.2222222</v>
      </c>
      <c r="G902" s="4">
        <f t="shared" si="4"/>
        <v>553</v>
      </c>
      <c r="H902" s="4" t="str">
        <f t="shared" si="5"/>
        <v>Binh thuong</v>
      </c>
    </row>
    <row r="903" ht="14.25" customHeight="1">
      <c r="A903" s="4" t="s">
        <v>920</v>
      </c>
      <c r="B903" s="4">
        <v>40875.0</v>
      </c>
      <c r="C903" s="4" t="s">
        <v>886</v>
      </c>
      <c r="D903" s="4" t="str">
        <f t="shared" si="1"/>
        <v>MA3</v>
      </c>
      <c r="E903" s="4">
        <f t="shared" si="2"/>
        <v>3406.25</v>
      </c>
      <c r="F903" s="4">
        <f t="shared" si="3"/>
        <v>1135.416667</v>
      </c>
      <c r="G903" s="4">
        <f t="shared" si="4"/>
        <v>3406</v>
      </c>
      <c r="H903" s="4" t="str">
        <f t="shared" si="5"/>
        <v>Uu tien cao</v>
      </c>
    </row>
    <row r="904" ht="14.25" customHeight="1">
      <c r="A904" s="4" t="s">
        <v>921</v>
      </c>
      <c r="B904" s="4">
        <v>17165.0</v>
      </c>
      <c r="C904" s="4" t="s">
        <v>886</v>
      </c>
      <c r="D904" s="4" t="str">
        <f t="shared" si="1"/>
        <v>MA3</v>
      </c>
      <c r="E904" s="4">
        <f t="shared" si="2"/>
        <v>1430.416667</v>
      </c>
      <c r="F904" s="4">
        <f t="shared" si="3"/>
        <v>476.8055556</v>
      </c>
      <c r="G904" s="4">
        <f t="shared" si="4"/>
        <v>1430</v>
      </c>
      <c r="H904" s="4" t="str">
        <f t="shared" si="5"/>
        <v>Binh thuong</v>
      </c>
    </row>
    <row r="905" ht="14.25" customHeight="1">
      <c r="A905" s="4" t="s">
        <v>922</v>
      </c>
      <c r="B905" s="4">
        <v>42602.0</v>
      </c>
      <c r="C905" s="4" t="s">
        <v>886</v>
      </c>
      <c r="D905" s="4" t="str">
        <f t="shared" si="1"/>
        <v>MA3</v>
      </c>
      <c r="E905" s="4">
        <f t="shared" si="2"/>
        <v>3550.166667</v>
      </c>
      <c r="F905" s="4">
        <f t="shared" si="3"/>
        <v>1183.388889</v>
      </c>
      <c r="G905" s="4">
        <f t="shared" si="4"/>
        <v>3550</v>
      </c>
      <c r="H905" s="4" t="str">
        <f t="shared" si="5"/>
        <v>Uu tien cao</v>
      </c>
    </row>
    <row r="906" ht="14.25" customHeight="1">
      <c r="A906" s="4" t="s">
        <v>923</v>
      </c>
      <c r="B906" s="4">
        <v>29823.0</v>
      </c>
      <c r="C906" s="4" t="s">
        <v>886</v>
      </c>
      <c r="D906" s="4" t="str">
        <f t="shared" si="1"/>
        <v>MA3</v>
      </c>
      <c r="E906" s="4">
        <f t="shared" si="2"/>
        <v>2485.25</v>
      </c>
      <c r="F906" s="4">
        <f t="shared" si="3"/>
        <v>828.4166667</v>
      </c>
      <c r="G906" s="4">
        <f t="shared" si="4"/>
        <v>2485</v>
      </c>
      <c r="H906" s="4" t="str">
        <f t="shared" si="5"/>
        <v>Binh thuong</v>
      </c>
    </row>
    <row r="907" ht="14.25" customHeight="1">
      <c r="A907" s="4" t="s">
        <v>924</v>
      </c>
      <c r="B907" s="4">
        <v>42437.0</v>
      </c>
      <c r="C907" s="4" t="s">
        <v>886</v>
      </c>
      <c r="D907" s="4" t="str">
        <f t="shared" si="1"/>
        <v>MA3</v>
      </c>
      <c r="E907" s="4">
        <f t="shared" si="2"/>
        <v>3536.416667</v>
      </c>
      <c r="F907" s="4">
        <f t="shared" si="3"/>
        <v>1178.805556</v>
      </c>
      <c r="G907" s="4">
        <f t="shared" si="4"/>
        <v>3536</v>
      </c>
      <c r="H907" s="4" t="str">
        <f t="shared" si="5"/>
        <v>Uu tien cao</v>
      </c>
    </row>
    <row r="908" ht="14.25" customHeight="1">
      <c r="A908" s="4" t="s">
        <v>925</v>
      </c>
      <c r="B908" s="4">
        <v>16886.0</v>
      </c>
      <c r="C908" s="4" t="s">
        <v>886</v>
      </c>
      <c r="D908" s="4" t="str">
        <f t="shared" si="1"/>
        <v>MA3</v>
      </c>
      <c r="E908" s="4">
        <f t="shared" si="2"/>
        <v>1407.166667</v>
      </c>
      <c r="F908" s="4">
        <f t="shared" si="3"/>
        <v>469.0555556</v>
      </c>
      <c r="G908" s="4">
        <f t="shared" si="4"/>
        <v>1407</v>
      </c>
      <c r="H908" s="4" t="str">
        <f t="shared" si="5"/>
        <v>Binh thuong</v>
      </c>
    </row>
    <row r="909" ht="14.25" customHeight="1">
      <c r="A909" s="4" t="s">
        <v>926</v>
      </c>
      <c r="B909" s="4">
        <v>17803.0</v>
      </c>
      <c r="C909" s="4" t="s">
        <v>886</v>
      </c>
      <c r="D909" s="4" t="str">
        <f t="shared" si="1"/>
        <v>MA3</v>
      </c>
      <c r="E909" s="4">
        <f t="shared" si="2"/>
        <v>1483.583333</v>
      </c>
      <c r="F909" s="4">
        <f t="shared" si="3"/>
        <v>494.5277778</v>
      </c>
      <c r="G909" s="4">
        <f t="shared" si="4"/>
        <v>1484</v>
      </c>
      <c r="H909" s="4" t="str">
        <f t="shared" si="5"/>
        <v>Binh thuong</v>
      </c>
    </row>
    <row r="910" ht="14.25" customHeight="1">
      <c r="A910" s="4" t="s">
        <v>927</v>
      </c>
      <c r="B910" s="4">
        <v>45378.0</v>
      </c>
      <c r="C910" s="4" t="s">
        <v>886</v>
      </c>
      <c r="D910" s="4" t="str">
        <f t="shared" si="1"/>
        <v>MA3</v>
      </c>
      <c r="E910" s="4">
        <f t="shared" si="2"/>
        <v>3781.5</v>
      </c>
      <c r="F910" s="4">
        <f t="shared" si="3"/>
        <v>1260.5</v>
      </c>
      <c r="G910" s="4">
        <f t="shared" si="4"/>
        <v>3782</v>
      </c>
      <c r="H910" s="4" t="str">
        <f t="shared" si="5"/>
        <v>Uu tien cao</v>
      </c>
    </row>
    <row r="911" ht="14.25" customHeight="1">
      <c r="A911" s="4" t="s">
        <v>928</v>
      </c>
      <c r="B911" s="4">
        <v>32345.0</v>
      </c>
      <c r="C911" s="4" t="s">
        <v>886</v>
      </c>
      <c r="D911" s="4" t="str">
        <f t="shared" si="1"/>
        <v>MA3</v>
      </c>
      <c r="E911" s="4">
        <f t="shared" si="2"/>
        <v>2695.416667</v>
      </c>
      <c r="F911" s="4">
        <f t="shared" si="3"/>
        <v>898.4722222</v>
      </c>
      <c r="G911" s="4">
        <f t="shared" si="4"/>
        <v>2695</v>
      </c>
      <c r="H911" s="4" t="str">
        <f t="shared" si="5"/>
        <v>Binh thuong</v>
      </c>
    </row>
    <row r="912" ht="14.25" customHeight="1">
      <c r="A912" s="4" t="s">
        <v>929</v>
      </c>
      <c r="B912" s="4">
        <v>30689.0</v>
      </c>
      <c r="C912" s="4" t="s">
        <v>886</v>
      </c>
      <c r="D912" s="4" t="str">
        <f t="shared" si="1"/>
        <v>MA3</v>
      </c>
      <c r="E912" s="4">
        <f t="shared" si="2"/>
        <v>2557.416667</v>
      </c>
      <c r="F912" s="4">
        <f t="shared" si="3"/>
        <v>852.4722222</v>
      </c>
      <c r="G912" s="4">
        <f t="shared" si="4"/>
        <v>2557</v>
      </c>
      <c r="H912" s="4" t="str">
        <f t="shared" si="5"/>
        <v>Binh thuong</v>
      </c>
    </row>
    <row r="913" ht="14.25" customHeight="1">
      <c r="A913" s="4" t="s">
        <v>930</v>
      </c>
      <c r="B913" s="4">
        <v>24478.0</v>
      </c>
      <c r="C913" s="4" t="s">
        <v>886</v>
      </c>
      <c r="D913" s="4" t="str">
        <f t="shared" si="1"/>
        <v>MA3</v>
      </c>
      <c r="E913" s="4">
        <f t="shared" si="2"/>
        <v>2039.833333</v>
      </c>
      <c r="F913" s="4">
        <f t="shared" si="3"/>
        <v>679.9444444</v>
      </c>
      <c r="G913" s="4">
        <f t="shared" si="4"/>
        <v>2040</v>
      </c>
      <c r="H913" s="4" t="str">
        <f t="shared" si="5"/>
        <v>Binh thuong</v>
      </c>
    </row>
    <row r="914" ht="14.25" customHeight="1">
      <c r="A914" s="4" t="s">
        <v>931</v>
      </c>
      <c r="B914" s="4">
        <v>25678.0</v>
      </c>
      <c r="C914" s="4" t="s">
        <v>886</v>
      </c>
      <c r="D914" s="4" t="str">
        <f t="shared" si="1"/>
        <v>MA3</v>
      </c>
      <c r="E914" s="4">
        <f t="shared" si="2"/>
        <v>2139.833333</v>
      </c>
      <c r="F914" s="4">
        <f t="shared" si="3"/>
        <v>713.2777778</v>
      </c>
      <c r="G914" s="4">
        <f t="shared" si="4"/>
        <v>2140</v>
      </c>
      <c r="H914" s="4" t="str">
        <f t="shared" si="5"/>
        <v>Binh thuong</v>
      </c>
    </row>
    <row r="915" ht="14.25" customHeight="1">
      <c r="A915" s="4" t="s">
        <v>932</v>
      </c>
      <c r="B915" s="4">
        <v>23117.0</v>
      </c>
      <c r="C915" s="4" t="s">
        <v>886</v>
      </c>
      <c r="D915" s="4" t="str">
        <f t="shared" si="1"/>
        <v>MA3</v>
      </c>
      <c r="E915" s="4">
        <f t="shared" si="2"/>
        <v>1926.416667</v>
      </c>
      <c r="F915" s="4">
        <f t="shared" si="3"/>
        <v>642.1388889</v>
      </c>
      <c r="G915" s="4">
        <f t="shared" si="4"/>
        <v>1926</v>
      </c>
      <c r="H915" s="4" t="str">
        <f t="shared" si="5"/>
        <v>Binh thuong</v>
      </c>
    </row>
    <row r="916" ht="14.25" customHeight="1">
      <c r="A916" s="4" t="s">
        <v>933</v>
      </c>
      <c r="B916" s="4">
        <v>29086.0</v>
      </c>
      <c r="C916" s="4" t="s">
        <v>886</v>
      </c>
      <c r="D916" s="4" t="str">
        <f t="shared" si="1"/>
        <v>MA3</v>
      </c>
      <c r="E916" s="4">
        <f t="shared" si="2"/>
        <v>2423.833333</v>
      </c>
      <c r="F916" s="4">
        <f t="shared" si="3"/>
        <v>807.9444444</v>
      </c>
      <c r="G916" s="4">
        <f t="shared" si="4"/>
        <v>2424</v>
      </c>
      <c r="H916" s="4" t="str">
        <f t="shared" si="5"/>
        <v>Binh thuong</v>
      </c>
    </row>
    <row r="917" ht="14.25" customHeight="1">
      <c r="A917" s="4" t="s">
        <v>934</v>
      </c>
      <c r="B917" s="4">
        <v>3066.0</v>
      </c>
      <c r="C917" s="4" t="s">
        <v>886</v>
      </c>
      <c r="D917" s="4" t="str">
        <f t="shared" si="1"/>
        <v>MA3</v>
      </c>
      <c r="E917" s="4">
        <f t="shared" si="2"/>
        <v>255.5</v>
      </c>
      <c r="F917" s="4">
        <f t="shared" si="3"/>
        <v>85.16666667</v>
      </c>
      <c r="G917" s="4">
        <f t="shared" si="4"/>
        <v>256</v>
      </c>
      <c r="H917" s="4" t="str">
        <f t="shared" si="5"/>
        <v>Binh thuong</v>
      </c>
    </row>
    <row r="918" ht="14.25" customHeight="1">
      <c r="A918" s="4" t="s">
        <v>935</v>
      </c>
      <c r="B918" s="4">
        <v>2899.0</v>
      </c>
      <c r="C918" s="4" t="s">
        <v>886</v>
      </c>
      <c r="D918" s="4" t="str">
        <f t="shared" si="1"/>
        <v>MA3</v>
      </c>
      <c r="E918" s="4">
        <f t="shared" si="2"/>
        <v>241.5833333</v>
      </c>
      <c r="F918" s="4">
        <f t="shared" si="3"/>
        <v>80.52777778</v>
      </c>
      <c r="G918" s="4">
        <f t="shared" si="4"/>
        <v>242</v>
      </c>
      <c r="H918" s="4" t="str">
        <f t="shared" si="5"/>
        <v>Binh thuong</v>
      </c>
    </row>
    <row r="919" ht="14.25" customHeight="1">
      <c r="A919" s="4" t="s">
        <v>936</v>
      </c>
      <c r="B919" s="4">
        <v>30617.0</v>
      </c>
      <c r="C919" s="4" t="s">
        <v>886</v>
      </c>
      <c r="D919" s="4" t="str">
        <f t="shared" si="1"/>
        <v>MA3</v>
      </c>
      <c r="E919" s="4">
        <f t="shared" si="2"/>
        <v>2551.416667</v>
      </c>
      <c r="F919" s="4">
        <f t="shared" si="3"/>
        <v>850.4722222</v>
      </c>
      <c r="G919" s="4">
        <f t="shared" si="4"/>
        <v>2551</v>
      </c>
      <c r="H919" s="4" t="str">
        <f t="shared" si="5"/>
        <v>Binh thuong</v>
      </c>
    </row>
    <row r="920" ht="14.25" customHeight="1">
      <c r="A920" s="4" t="s">
        <v>937</v>
      </c>
      <c r="B920" s="4">
        <v>20817.0</v>
      </c>
      <c r="C920" s="4" t="s">
        <v>886</v>
      </c>
      <c r="D920" s="4" t="str">
        <f t="shared" si="1"/>
        <v>MA3</v>
      </c>
      <c r="E920" s="4">
        <f t="shared" si="2"/>
        <v>1734.75</v>
      </c>
      <c r="F920" s="4">
        <f t="shared" si="3"/>
        <v>578.25</v>
      </c>
      <c r="G920" s="4">
        <f t="shared" si="4"/>
        <v>1735</v>
      </c>
      <c r="H920" s="4" t="str">
        <f t="shared" si="5"/>
        <v>Binh thuong</v>
      </c>
    </row>
    <row r="921" ht="14.25" customHeight="1">
      <c r="A921" s="4" t="s">
        <v>938</v>
      </c>
      <c r="B921" s="4">
        <v>58762.0</v>
      </c>
      <c r="C921" s="4" t="s">
        <v>886</v>
      </c>
      <c r="D921" s="4" t="str">
        <f t="shared" si="1"/>
        <v>MA3</v>
      </c>
      <c r="E921" s="4">
        <f t="shared" si="2"/>
        <v>4896.833333</v>
      </c>
      <c r="F921" s="4">
        <f t="shared" si="3"/>
        <v>1632.277778</v>
      </c>
      <c r="G921" s="4">
        <f t="shared" si="4"/>
        <v>4897</v>
      </c>
      <c r="H921" s="4" t="str">
        <f t="shared" si="5"/>
        <v>Uu tien cao</v>
      </c>
    </row>
    <row r="922" ht="14.25" customHeight="1">
      <c r="A922" s="4" t="s">
        <v>939</v>
      </c>
      <c r="B922" s="4">
        <v>42014.0</v>
      </c>
      <c r="C922" s="4" t="s">
        <v>886</v>
      </c>
      <c r="D922" s="4" t="str">
        <f t="shared" si="1"/>
        <v>MA3</v>
      </c>
      <c r="E922" s="4">
        <f t="shared" si="2"/>
        <v>3501.166667</v>
      </c>
      <c r="F922" s="4">
        <f t="shared" si="3"/>
        <v>1167.055556</v>
      </c>
      <c r="G922" s="4">
        <f t="shared" si="4"/>
        <v>3501</v>
      </c>
      <c r="H922" s="4" t="str">
        <f t="shared" si="5"/>
        <v>Uu tien cao</v>
      </c>
    </row>
    <row r="923" ht="14.25" customHeight="1">
      <c r="A923" s="4" t="s">
        <v>940</v>
      </c>
      <c r="B923" s="4">
        <v>25565.0</v>
      </c>
      <c r="C923" s="4" t="s">
        <v>886</v>
      </c>
      <c r="D923" s="4" t="str">
        <f t="shared" si="1"/>
        <v>MA3</v>
      </c>
      <c r="E923" s="4">
        <f t="shared" si="2"/>
        <v>2130.416667</v>
      </c>
      <c r="F923" s="4">
        <f t="shared" si="3"/>
        <v>710.1388889</v>
      </c>
      <c r="G923" s="4">
        <f t="shared" si="4"/>
        <v>2130</v>
      </c>
      <c r="H923" s="4" t="str">
        <f t="shared" si="5"/>
        <v>Binh thuong</v>
      </c>
    </row>
    <row r="924" ht="14.25" customHeight="1">
      <c r="A924" s="4" t="s">
        <v>941</v>
      </c>
      <c r="B924" s="4">
        <v>23604.0</v>
      </c>
      <c r="C924" s="4" t="s">
        <v>886</v>
      </c>
      <c r="D924" s="4" t="str">
        <f t="shared" si="1"/>
        <v>MA3</v>
      </c>
      <c r="E924" s="4">
        <f t="shared" si="2"/>
        <v>1967</v>
      </c>
      <c r="F924" s="4">
        <f t="shared" si="3"/>
        <v>655.6666667</v>
      </c>
      <c r="G924" s="4">
        <f t="shared" si="4"/>
        <v>1967</v>
      </c>
      <c r="H924" s="4" t="str">
        <f t="shared" si="5"/>
        <v>Binh thuong</v>
      </c>
    </row>
    <row r="925" ht="14.25" customHeight="1">
      <c r="A925" s="4" t="s">
        <v>942</v>
      </c>
      <c r="B925" s="4">
        <v>469802.0</v>
      </c>
      <c r="C925" s="4" t="s">
        <v>886</v>
      </c>
      <c r="D925" s="4" t="str">
        <f t="shared" si="1"/>
        <v>MA3</v>
      </c>
      <c r="E925" s="4">
        <f t="shared" si="2"/>
        <v>39150.16667</v>
      </c>
      <c r="F925" s="4">
        <f t="shared" si="3"/>
        <v>13050.05556</v>
      </c>
      <c r="G925" s="4">
        <f t="shared" si="4"/>
        <v>39150</v>
      </c>
      <c r="H925" s="4" t="str">
        <f t="shared" si="5"/>
        <v>Uu tien cao</v>
      </c>
    </row>
    <row r="926" ht="14.25" customHeight="1">
      <c r="A926" s="4" t="s">
        <v>943</v>
      </c>
      <c r="B926" s="4">
        <v>14439.0</v>
      </c>
      <c r="C926" s="4" t="s">
        <v>886</v>
      </c>
      <c r="D926" s="4" t="str">
        <f t="shared" si="1"/>
        <v>MA3</v>
      </c>
      <c r="E926" s="4">
        <f t="shared" si="2"/>
        <v>1203.25</v>
      </c>
      <c r="F926" s="4">
        <f t="shared" si="3"/>
        <v>401.0833333</v>
      </c>
      <c r="G926" s="4">
        <f t="shared" si="4"/>
        <v>1203</v>
      </c>
      <c r="H926" s="4" t="str">
        <f t="shared" si="5"/>
        <v>Binh thuong</v>
      </c>
    </row>
    <row r="927" ht="14.25" customHeight="1">
      <c r="A927" s="4" t="s">
        <v>944</v>
      </c>
      <c r="B927" s="4">
        <v>72768.0</v>
      </c>
      <c r="C927" s="4" t="s">
        <v>886</v>
      </c>
      <c r="D927" s="4" t="str">
        <f t="shared" si="1"/>
        <v>MA3</v>
      </c>
      <c r="E927" s="4">
        <f t="shared" si="2"/>
        <v>6064</v>
      </c>
      <c r="F927" s="4">
        <f t="shared" si="3"/>
        <v>2021.333333</v>
      </c>
      <c r="G927" s="4">
        <f t="shared" si="4"/>
        <v>6064</v>
      </c>
      <c r="H927" s="4" t="str">
        <f t="shared" si="5"/>
        <v>Uu tien cao</v>
      </c>
    </row>
    <row r="928" ht="14.25" customHeight="1">
      <c r="A928" s="4" t="s">
        <v>945</v>
      </c>
      <c r="B928" s="4">
        <v>354769.0</v>
      </c>
      <c r="C928" s="4" t="s">
        <v>886</v>
      </c>
      <c r="D928" s="4" t="str">
        <f t="shared" si="1"/>
        <v>MA3</v>
      </c>
      <c r="E928" s="4">
        <f t="shared" si="2"/>
        <v>29564.08333</v>
      </c>
      <c r="F928" s="4">
        <f t="shared" si="3"/>
        <v>9854.694444</v>
      </c>
      <c r="G928" s="4">
        <f t="shared" si="4"/>
        <v>29564</v>
      </c>
      <c r="H928" s="4" t="str">
        <f t="shared" si="5"/>
        <v>Uu tien cao</v>
      </c>
    </row>
    <row r="929" ht="14.25" customHeight="1">
      <c r="A929" s="4" t="s">
        <v>946</v>
      </c>
      <c r="B929" s="4">
        <v>13176.0</v>
      </c>
      <c r="C929" s="4" t="s">
        <v>886</v>
      </c>
      <c r="D929" s="4" t="str">
        <f t="shared" si="1"/>
        <v>MA3</v>
      </c>
      <c r="E929" s="4">
        <f t="shared" si="2"/>
        <v>1098</v>
      </c>
      <c r="F929" s="4">
        <f t="shared" si="3"/>
        <v>366</v>
      </c>
      <c r="G929" s="4">
        <f t="shared" si="4"/>
        <v>1098</v>
      </c>
      <c r="H929" s="4" t="str">
        <f t="shared" si="5"/>
        <v>Binh thuong</v>
      </c>
    </row>
    <row r="930" ht="14.25" customHeight="1">
      <c r="A930" s="4" t="s">
        <v>947</v>
      </c>
      <c r="B930" s="4">
        <v>61653.0</v>
      </c>
      <c r="C930" s="4" t="s">
        <v>886</v>
      </c>
      <c r="D930" s="4" t="str">
        <f t="shared" si="1"/>
        <v>MA3</v>
      </c>
      <c r="E930" s="4">
        <f t="shared" si="2"/>
        <v>5137.75</v>
      </c>
      <c r="F930" s="4">
        <f t="shared" si="3"/>
        <v>1712.583333</v>
      </c>
      <c r="G930" s="4">
        <f t="shared" si="4"/>
        <v>5138</v>
      </c>
      <c r="H930" s="4" t="str">
        <f t="shared" si="5"/>
        <v>Uu tien cao</v>
      </c>
    </row>
    <row r="931" ht="14.25" customHeight="1">
      <c r="A931" s="4" t="s">
        <v>948</v>
      </c>
      <c r="B931" s="4">
        <v>633563.0</v>
      </c>
      <c r="C931" s="4" t="s">
        <v>886</v>
      </c>
      <c r="D931" s="4" t="str">
        <f t="shared" si="1"/>
        <v>MA3</v>
      </c>
      <c r="E931" s="4">
        <f t="shared" si="2"/>
        <v>52796.91667</v>
      </c>
      <c r="F931" s="4">
        <f t="shared" si="3"/>
        <v>17598.97222</v>
      </c>
      <c r="G931" s="4">
        <f t="shared" si="4"/>
        <v>52797</v>
      </c>
      <c r="H931" s="4" t="str">
        <f t="shared" si="5"/>
        <v>Uu tien cao</v>
      </c>
    </row>
    <row r="932" ht="14.25" customHeight="1">
      <c r="A932" s="4" t="s">
        <v>949</v>
      </c>
      <c r="B932" s="4">
        <v>15451.0</v>
      </c>
      <c r="C932" s="4" t="s">
        <v>886</v>
      </c>
      <c r="D932" s="4" t="str">
        <f t="shared" si="1"/>
        <v>MA3</v>
      </c>
      <c r="E932" s="4">
        <f t="shared" si="2"/>
        <v>1287.583333</v>
      </c>
      <c r="F932" s="4">
        <f t="shared" si="3"/>
        <v>429.1944444</v>
      </c>
      <c r="G932" s="4">
        <f t="shared" si="4"/>
        <v>1288</v>
      </c>
      <c r="H932" s="4" t="str">
        <f t="shared" si="5"/>
        <v>Binh thuong</v>
      </c>
    </row>
    <row r="933" ht="14.25" customHeight="1">
      <c r="A933" s="4" t="s">
        <v>950</v>
      </c>
      <c r="B933" s="4">
        <v>99532.0</v>
      </c>
      <c r="C933" s="4" t="s">
        <v>886</v>
      </c>
      <c r="D933" s="4" t="str">
        <f t="shared" si="1"/>
        <v>MA3</v>
      </c>
      <c r="E933" s="4">
        <f t="shared" si="2"/>
        <v>8294.333333</v>
      </c>
      <c r="F933" s="4">
        <f t="shared" si="3"/>
        <v>2764.777778</v>
      </c>
      <c r="G933" s="4">
        <f t="shared" si="4"/>
        <v>8294</v>
      </c>
      <c r="H933" s="4" t="str">
        <f t="shared" si="5"/>
        <v>Uu tien cao</v>
      </c>
    </row>
    <row r="934" ht="14.25" customHeight="1">
      <c r="A934" s="4" t="s">
        <v>951</v>
      </c>
      <c r="B934" s="4">
        <v>329943.0</v>
      </c>
      <c r="C934" s="4" t="s">
        <v>886</v>
      </c>
      <c r="D934" s="4" t="str">
        <f t="shared" si="1"/>
        <v>MA3</v>
      </c>
      <c r="E934" s="4">
        <f t="shared" si="2"/>
        <v>27495.25</v>
      </c>
      <c r="F934" s="4">
        <f t="shared" si="3"/>
        <v>9165.083333</v>
      </c>
      <c r="G934" s="4">
        <f t="shared" si="4"/>
        <v>27495</v>
      </c>
      <c r="H934" s="4" t="str">
        <f t="shared" si="5"/>
        <v>Uu tien cao</v>
      </c>
    </row>
    <row r="935" ht="14.25" customHeight="1">
      <c r="A935" s="4" t="s">
        <v>952</v>
      </c>
      <c r="B935" s="4">
        <v>10640.0</v>
      </c>
      <c r="C935" s="4" t="s">
        <v>886</v>
      </c>
      <c r="D935" s="4" t="str">
        <f t="shared" si="1"/>
        <v>MA3</v>
      </c>
      <c r="E935" s="4">
        <f t="shared" si="2"/>
        <v>886.6666667</v>
      </c>
      <c r="F935" s="4">
        <f t="shared" si="3"/>
        <v>295.5555556</v>
      </c>
      <c r="G935" s="4">
        <f t="shared" si="4"/>
        <v>887</v>
      </c>
      <c r="H935" s="4" t="str">
        <f t="shared" si="5"/>
        <v>Binh thuong</v>
      </c>
    </row>
    <row r="936" ht="14.25" customHeight="1">
      <c r="A936" s="4" t="s">
        <v>953</v>
      </c>
      <c r="B936" s="4">
        <v>55961.0</v>
      </c>
      <c r="C936" s="4" t="s">
        <v>886</v>
      </c>
      <c r="D936" s="4" t="str">
        <f t="shared" si="1"/>
        <v>MA3</v>
      </c>
      <c r="E936" s="4">
        <f t="shared" si="2"/>
        <v>4663.416667</v>
      </c>
      <c r="F936" s="4">
        <f t="shared" si="3"/>
        <v>1554.472222</v>
      </c>
      <c r="G936" s="4">
        <f t="shared" si="4"/>
        <v>4663</v>
      </c>
      <c r="H936" s="4" t="str">
        <f t="shared" si="5"/>
        <v>Uu tien cao</v>
      </c>
    </row>
    <row r="937" ht="14.25" customHeight="1">
      <c r="A937" s="4" t="s">
        <v>954</v>
      </c>
      <c r="B937" s="4">
        <v>133396.0</v>
      </c>
      <c r="C937" s="4" t="s">
        <v>886</v>
      </c>
      <c r="D937" s="4" t="str">
        <f t="shared" si="1"/>
        <v>MA3</v>
      </c>
      <c r="E937" s="4">
        <f t="shared" si="2"/>
        <v>11116.33333</v>
      </c>
      <c r="F937" s="4">
        <f t="shared" si="3"/>
        <v>3705.444444</v>
      </c>
      <c r="G937" s="4">
        <f t="shared" si="4"/>
        <v>11116</v>
      </c>
      <c r="H937" s="4" t="str">
        <f t="shared" si="5"/>
        <v>Uu tien cao</v>
      </c>
    </row>
    <row r="938" ht="14.25" customHeight="1">
      <c r="A938" s="4" t="s">
        <v>955</v>
      </c>
      <c r="B938" s="4">
        <v>14709.0</v>
      </c>
      <c r="C938" s="4" t="s">
        <v>886</v>
      </c>
      <c r="D938" s="4" t="str">
        <f t="shared" si="1"/>
        <v>MA3</v>
      </c>
      <c r="E938" s="4">
        <f t="shared" si="2"/>
        <v>1225.75</v>
      </c>
      <c r="F938" s="4">
        <f t="shared" si="3"/>
        <v>408.5833333</v>
      </c>
      <c r="G938" s="4">
        <f t="shared" si="4"/>
        <v>1226</v>
      </c>
      <c r="H938" s="4" t="str">
        <f t="shared" si="5"/>
        <v>Binh thuong</v>
      </c>
    </row>
    <row r="939" ht="14.25" customHeight="1">
      <c r="A939" s="4" t="s">
        <v>956</v>
      </c>
      <c r="B939" s="4">
        <v>111785.0</v>
      </c>
      <c r="C939" s="4" t="s">
        <v>886</v>
      </c>
      <c r="D939" s="4" t="str">
        <f t="shared" si="1"/>
        <v>MA3</v>
      </c>
      <c r="E939" s="4">
        <f t="shared" si="2"/>
        <v>9315.416667</v>
      </c>
      <c r="F939" s="4">
        <f t="shared" si="3"/>
        <v>3105.138889</v>
      </c>
      <c r="G939" s="4">
        <f t="shared" si="4"/>
        <v>9315</v>
      </c>
      <c r="H939" s="4" t="str">
        <f t="shared" si="5"/>
        <v>Uu tien cao</v>
      </c>
    </row>
    <row r="940" ht="14.25" customHeight="1">
      <c r="A940" s="4" t="s">
        <v>957</v>
      </c>
      <c r="B940" s="4">
        <v>56030.0</v>
      </c>
      <c r="C940" s="4" t="s">
        <v>886</v>
      </c>
      <c r="D940" s="4" t="str">
        <f t="shared" si="1"/>
        <v>MA3</v>
      </c>
      <c r="E940" s="4">
        <f t="shared" si="2"/>
        <v>4669.166667</v>
      </c>
      <c r="F940" s="4">
        <f t="shared" si="3"/>
        <v>1556.388889</v>
      </c>
      <c r="G940" s="4">
        <f t="shared" si="4"/>
        <v>4669</v>
      </c>
      <c r="H940" s="4" t="str">
        <f t="shared" si="5"/>
        <v>Uu tien cao</v>
      </c>
    </row>
    <row r="941" ht="14.25" customHeight="1">
      <c r="A941" s="4" t="s">
        <v>958</v>
      </c>
      <c r="B941" s="4">
        <v>8560.0</v>
      </c>
      <c r="C941" s="4" t="s">
        <v>886</v>
      </c>
      <c r="D941" s="4" t="str">
        <f t="shared" si="1"/>
        <v>MA3</v>
      </c>
      <c r="E941" s="4">
        <f t="shared" si="2"/>
        <v>713.3333333</v>
      </c>
      <c r="F941" s="4">
        <f t="shared" si="3"/>
        <v>237.7777778</v>
      </c>
      <c r="G941" s="4">
        <f t="shared" si="4"/>
        <v>713</v>
      </c>
      <c r="H941" s="4" t="str">
        <f t="shared" si="5"/>
        <v>Binh thuong</v>
      </c>
    </row>
    <row r="942" ht="14.25" customHeight="1">
      <c r="A942" s="4" t="s">
        <v>959</v>
      </c>
      <c r="B942" s="4">
        <v>57447.0</v>
      </c>
      <c r="C942" s="4" t="s">
        <v>886</v>
      </c>
      <c r="D942" s="4" t="str">
        <f t="shared" si="1"/>
        <v>MA3</v>
      </c>
      <c r="E942" s="4">
        <f t="shared" si="2"/>
        <v>4787.25</v>
      </c>
      <c r="F942" s="4">
        <f t="shared" si="3"/>
        <v>1595.75</v>
      </c>
      <c r="G942" s="4">
        <f t="shared" si="4"/>
        <v>4787</v>
      </c>
      <c r="H942" s="4" t="str">
        <f t="shared" si="5"/>
        <v>Uu tien cao</v>
      </c>
    </row>
    <row r="943" ht="14.25" customHeight="1">
      <c r="A943" s="4" t="s">
        <v>960</v>
      </c>
      <c r="B943" s="4">
        <v>76736.0</v>
      </c>
      <c r="C943" s="4" t="s">
        <v>886</v>
      </c>
      <c r="D943" s="4" t="str">
        <f t="shared" si="1"/>
        <v>MA3</v>
      </c>
      <c r="E943" s="4">
        <f t="shared" si="2"/>
        <v>6394.666667</v>
      </c>
      <c r="F943" s="4">
        <f t="shared" si="3"/>
        <v>2131.555556</v>
      </c>
      <c r="G943" s="4">
        <f t="shared" si="4"/>
        <v>6395</v>
      </c>
      <c r="H943" s="4" t="str">
        <f t="shared" si="5"/>
        <v>Uu tien cao</v>
      </c>
    </row>
    <row r="944" ht="14.25" customHeight="1">
      <c r="A944" s="4" t="s">
        <v>961</v>
      </c>
      <c r="B944" s="4">
        <v>5973.0</v>
      </c>
      <c r="C944" s="4" t="s">
        <v>886</v>
      </c>
      <c r="D944" s="4" t="str">
        <f t="shared" si="1"/>
        <v>MA3</v>
      </c>
      <c r="E944" s="4">
        <f t="shared" si="2"/>
        <v>497.75</v>
      </c>
      <c r="F944" s="4">
        <f t="shared" si="3"/>
        <v>165.9166667</v>
      </c>
      <c r="G944" s="4">
        <f t="shared" si="4"/>
        <v>498</v>
      </c>
      <c r="H944" s="4" t="str">
        <f t="shared" si="5"/>
        <v>Binh thuong</v>
      </c>
    </row>
    <row r="945" ht="14.25" customHeight="1">
      <c r="A945" s="4" t="s">
        <v>962</v>
      </c>
      <c r="B945" s="4">
        <v>49231.0</v>
      </c>
      <c r="C945" s="4" t="s">
        <v>886</v>
      </c>
      <c r="D945" s="4" t="str">
        <f t="shared" si="1"/>
        <v>MA3</v>
      </c>
      <c r="E945" s="4">
        <f t="shared" si="2"/>
        <v>4102.583333</v>
      </c>
      <c r="F945" s="4">
        <f t="shared" si="3"/>
        <v>1367.527778</v>
      </c>
      <c r="G945" s="4">
        <f t="shared" si="4"/>
        <v>4103</v>
      </c>
      <c r="H945" s="4" t="str">
        <f t="shared" si="5"/>
        <v>Uu tien cao</v>
      </c>
    </row>
    <row r="946" ht="14.25" customHeight="1">
      <c r="A946" s="4" t="s">
        <v>963</v>
      </c>
      <c r="B946" s="4">
        <v>143334.0</v>
      </c>
      <c r="C946" s="4" t="s">
        <v>886</v>
      </c>
      <c r="D946" s="4" t="str">
        <f t="shared" si="1"/>
        <v>MA3</v>
      </c>
      <c r="E946" s="4">
        <f t="shared" si="2"/>
        <v>11944.5</v>
      </c>
      <c r="F946" s="4">
        <f t="shared" si="3"/>
        <v>3981.5</v>
      </c>
      <c r="G946" s="4">
        <f t="shared" si="4"/>
        <v>11945</v>
      </c>
      <c r="H946" s="4" t="str">
        <f t="shared" si="5"/>
        <v>Uu tien cao</v>
      </c>
    </row>
    <row r="947" ht="14.25" customHeight="1">
      <c r="A947" s="4" t="s">
        <v>964</v>
      </c>
      <c r="B947" s="4">
        <v>15256.0</v>
      </c>
      <c r="C947" s="4" t="s">
        <v>886</v>
      </c>
      <c r="D947" s="4" t="str">
        <f t="shared" si="1"/>
        <v>MA3</v>
      </c>
      <c r="E947" s="4">
        <f t="shared" si="2"/>
        <v>1271.333333</v>
      </c>
      <c r="F947" s="4">
        <f t="shared" si="3"/>
        <v>423.7777778</v>
      </c>
      <c r="G947" s="4">
        <f t="shared" si="4"/>
        <v>1271</v>
      </c>
      <c r="H947" s="4" t="str">
        <f t="shared" si="5"/>
        <v>Binh thuong</v>
      </c>
    </row>
    <row r="948" ht="14.25" customHeight="1">
      <c r="A948" s="4" t="s">
        <v>965</v>
      </c>
      <c r="B948" s="4">
        <v>124333.0</v>
      </c>
      <c r="C948" s="4" t="s">
        <v>886</v>
      </c>
      <c r="D948" s="4" t="str">
        <f t="shared" si="1"/>
        <v>MA3</v>
      </c>
      <c r="E948" s="4">
        <f t="shared" si="2"/>
        <v>10361.08333</v>
      </c>
      <c r="F948" s="4">
        <f t="shared" si="3"/>
        <v>3453.694444</v>
      </c>
      <c r="G948" s="4">
        <f t="shared" si="4"/>
        <v>10361</v>
      </c>
      <c r="H948" s="4" t="str">
        <f t="shared" si="5"/>
        <v>Uu tien cao</v>
      </c>
    </row>
    <row r="949" ht="14.25" customHeight="1">
      <c r="A949" s="4" t="s">
        <v>966</v>
      </c>
      <c r="B949" s="4">
        <v>55717.0</v>
      </c>
      <c r="C949" s="4" t="s">
        <v>886</v>
      </c>
      <c r="D949" s="4" t="str">
        <f t="shared" si="1"/>
        <v>MA3</v>
      </c>
      <c r="E949" s="4">
        <f t="shared" si="2"/>
        <v>4643.083333</v>
      </c>
      <c r="F949" s="4">
        <f t="shared" si="3"/>
        <v>1547.694444</v>
      </c>
      <c r="G949" s="4">
        <f t="shared" si="4"/>
        <v>4643</v>
      </c>
      <c r="H949" s="4" t="str">
        <f t="shared" si="5"/>
        <v>Uu tien cao</v>
      </c>
    </row>
    <row r="950" ht="14.25" customHeight="1">
      <c r="A950" s="4" t="s">
        <v>967</v>
      </c>
      <c r="B950" s="4">
        <v>8070.0</v>
      </c>
      <c r="C950" s="4" t="s">
        <v>886</v>
      </c>
      <c r="D950" s="4" t="str">
        <f t="shared" si="1"/>
        <v>MA3</v>
      </c>
      <c r="E950" s="4">
        <f t="shared" si="2"/>
        <v>672.5</v>
      </c>
      <c r="F950" s="4">
        <f t="shared" si="3"/>
        <v>224.1666667</v>
      </c>
      <c r="G950" s="4">
        <f t="shared" si="4"/>
        <v>673</v>
      </c>
      <c r="H950" s="4" t="str">
        <f t="shared" si="5"/>
        <v>Binh thuong</v>
      </c>
    </row>
    <row r="951" ht="14.25" customHeight="1">
      <c r="A951" s="4" t="s">
        <v>968</v>
      </c>
      <c r="B951" s="4">
        <v>27809.0</v>
      </c>
      <c r="C951" s="4" t="s">
        <v>886</v>
      </c>
      <c r="D951" s="4" t="str">
        <f t="shared" si="1"/>
        <v>MA3</v>
      </c>
      <c r="E951" s="4">
        <f t="shared" si="2"/>
        <v>2317.416667</v>
      </c>
      <c r="F951" s="4">
        <f t="shared" si="3"/>
        <v>772.4722222</v>
      </c>
      <c r="G951" s="4">
        <f t="shared" si="4"/>
        <v>2317</v>
      </c>
      <c r="H951" s="4" t="str">
        <f t="shared" si="5"/>
        <v>Binh thuong</v>
      </c>
    </row>
    <row r="952" ht="14.25" customHeight="1">
      <c r="A952" s="4" t="s">
        <v>969</v>
      </c>
      <c r="B952" s="4">
        <v>93044.0</v>
      </c>
      <c r="C952" s="4" t="s">
        <v>886</v>
      </c>
      <c r="D952" s="4" t="str">
        <f t="shared" si="1"/>
        <v>MA3</v>
      </c>
      <c r="E952" s="4">
        <f t="shared" si="2"/>
        <v>7753.666667</v>
      </c>
      <c r="F952" s="4">
        <f t="shared" si="3"/>
        <v>2584.555556</v>
      </c>
      <c r="G952" s="4">
        <f t="shared" si="4"/>
        <v>7754</v>
      </c>
      <c r="H952" s="4" t="str">
        <f t="shared" si="5"/>
        <v>Uu tien cao</v>
      </c>
    </row>
    <row r="953" ht="14.25" customHeight="1">
      <c r="A953" s="4" t="s">
        <v>970</v>
      </c>
      <c r="B953" s="4">
        <v>15279.0</v>
      </c>
      <c r="C953" s="4" t="s">
        <v>886</v>
      </c>
      <c r="D953" s="4" t="str">
        <f t="shared" si="1"/>
        <v>MA3</v>
      </c>
      <c r="E953" s="4">
        <f t="shared" si="2"/>
        <v>1273.25</v>
      </c>
      <c r="F953" s="4">
        <f t="shared" si="3"/>
        <v>424.4166667</v>
      </c>
      <c r="G953" s="4">
        <f t="shared" si="4"/>
        <v>1273</v>
      </c>
      <c r="H953" s="4" t="str">
        <f t="shared" si="5"/>
        <v>Binh thuong</v>
      </c>
    </row>
    <row r="954" ht="14.25" customHeight="1">
      <c r="A954" s="4" t="s">
        <v>971</v>
      </c>
      <c r="B954" s="4">
        <v>63464.0</v>
      </c>
      <c r="C954" s="4" t="s">
        <v>886</v>
      </c>
      <c r="D954" s="4" t="str">
        <f t="shared" si="1"/>
        <v>MA3</v>
      </c>
      <c r="E954" s="4">
        <f t="shared" si="2"/>
        <v>5288.666667</v>
      </c>
      <c r="F954" s="4">
        <f t="shared" si="3"/>
        <v>1762.888889</v>
      </c>
      <c r="G954" s="4">
        <f t="shared" si="4"/>
        <v>5289</v>
      </c>
      <c r="H954" s="4" t="str">
        <f t="shared" si="5"/>
        <v>Uu tien cao</v>
      </c>
    </row>
    <row r="955" ht="14.25" customHeight="1">
      <c r="A955" s="4" t="s">
        <v>972</v>
      </c>
      <c r="B955" s="4">
        <v>82566.0</v>
      </c>
      <c r="C955" s="4" t="s">
        <v>886</v>
      </c>
      <c r="D955" s="4" t="str">
        <f t="shared" si="1"/>
        <v>MA3</v>
      </c>
      <c r="E955" s="4">
        <f t="shared" si="2"/>
        <v>6880.5</v>
      </c>
      <c r="F955" s="4">
        <f t="shared" si="3"/>
        <v>2293.5</v>
      </c>
      <c r="G955" s="4">
        <f t="shared" si="4"/>
        <v>6881</v>
      </c>
      <c r="H955" s="4" t="str">
        <f t="shared" si="5"/>
        <v>Uu tien cao</v>
      </c>
    </row>
    <row r="956" ht="14.25" customHeight="1">
      <c r="A956" s="4" t="s">
        <v>973</v>
      </c>
      <c r="B956" s="4">
        <v>10618.0</v>
      </c>
      <c r="C956" s="4" t="s">
        <v>886</v>
      </c>
      <c r="D956" s="4" t="str">
        <f t="shared" si="1"/>
        <v>MA3</v>
      </c>
      <c r="E956" s="4">
        <f t="shared" si="2"/>
        <v>884.8333333</v>
      </c>
      <c r="F956" s="4">
        <f t="shared" si="3"/>
        <v>294.9444444</v>
      </c>
      <c r="G956" s="4">
        <f t="shared" si="4"/>
        <v>885</v>
      </c>
      <c r="H956" s="4" t="str">
        <f t="shared" si="5"/>
        <v>Binh thuong</v>
      </c>
    </row>
    <row r="957" ht="14.25" customHeight="1">
      <c r="A957" s="4" t="s">
        <v>974</v>
      </c>
      <c r="B957" s="4">
        <v>46474.0</v>
      </c>
      <c r="C957" s="4" t="s">
        <v>886</v>
      </c>
      <c r="D957" s="4" t="str">
        <f t="shared" si="1"/>
        <v>MA3</v>
      </c>
      <c r="E957" s="4">
        <f t="shared" si="2"/>
        <v>3872.833333</v>
      </c>
      <c r="F957" s="4">
        <f t="shared" si="3"/>
        <v>1290.944444</v>
      </c>
      <c r="G957" s="4">
        <f t="shared" si="4"/>
        <v>3873</v>
      </c>
      <c r="H957" s="4" t="str">
        <f t="shared" si="5"/>
        <v>Uu tien cao</v>
      </c>
    </row>
    <row r="958" ht="14.25" customHeight="1">
      <c r="A958" s="4" t="s">
        <v>975</v>
      </c>
      <c r="B958" s="4">
        <v>74421.0</v>
      </c>
      <c r="C958" s="4" t="s">
        <v>886</v>
      </c>
      <c r="D958" s="4" t="str">
        <f t="shared" si="1"/>
        <v>MA3</v>
      </c>
      <c r="E958" s="4">
        <f t="shared" si="2"/>
        <v>6201.75</v>
      </c>
      <c r="F958" s="4">
        <f t="shared" si="3"/>
        <v>2067.25</v>
      </c>
      <c r="G958" s="4">
        <f t="shared" si="4"/>
        <v>6202</v>
      </c>
      <c r="H958" s="4" t="str">
        <f t="shared" si="5"/>
        <v>Uu tien cao</v>
      </c>
    </row>
    <row r="959" ht="14.25" customHeight="1">
      <c r="A959" s="4" t="s">
        <v>976</v>
      </c>
      <c r="B959" s="4">
        <v>9216.0</v>
      </c>
      <c r="C959" s="4" t="s">
        <v>886</v>
      </c>
      <c r="D959" s="4" t="str">
        <f t="shared" si="1"/>
        <v>MA3</v>
      </c>
      <c r="E959" s="4">
        <f t="shared" si="2"/>
        <v>768</v>
      </c>
      <c r="F959" s="4">
        <f t="shared" si="3"/>
        <v>256</v>
      </c>
      <c r="G959" s="4">
        <f t="shared" si="4"/>
        <v>768</v>
      </c>
      <c r="H959" s="4" t="str">
        <f t="shared" si="5"/>
        <v>Binh thuong</v>
      </c>
    </row>
    <row r="960" ht="14.25" customHeight="1">
      <c r="A960" s="4" t="s">
        <v>977</v>
      </c>
      <c r="B960" s="4">
        <v>37305.0</v>
      </c>
      <c r="C960" s="4" t="s">
        <v>886</v>
      </c>
      <c r="D960" s="4" t="str">
        <f t="shared" si="1"/>
        <v>MA3</v>
      </c>
      <c r="E960" s="4">
        <f t="shared" si="2"/>
        <v>3108.75</v>
      </c>
      <c r="F960" s="4">
        <f t="shared" si="3"/>
        <v>1036.25</v>
      </c>
      <c r="G960" s="4">
        <f t="shared" si="4"/>
        <v>3109</v>
      </c>
      <c r="H960" s="4" t="str">
        <f t="shared" si="5"/>
        <v>Binh thuong</v>
      </c>
    </row>
    <row r="961" ht="14.25" customHeight="1">
      <c r="A961" s="4" t="s">
        <v>978</v>
      </c>
      <c r="B961" s="4">
        <v>58153.0</v>
      </c>
      <c r="C961" s="4" t="s">
        <v>886</v>
      </c>
      <c r="D961" s="4" t="str">
        <f t="shared" si="1"/>
        <v>MA3</v>
      </c>
      <c r="E961" s="4">
        <f t="shared" si="2"/>
        <v>4846.083333</v>
      </c>
      <c r="F961" s="4">
        <f t="shared" si="3"/>
        <v>1615.361111</v>
      </c>
      <c r="G961" s="4">
        <f t="shared" si="4"/>
        <v>4846</v>
      </c>
      <c r="H961" s="4" t="str">
        <f t="shared" si="5"/>
        <v>Uu tien cao</v>
      </c>
    </row>
    <row r="962" ht="14.25" customHeight="1">
      <c r="A962" s="4" t="s">
        <v>979</v>
      </c>
      <c r="B962" s="4">
        <v>9058.0</v>
      </c>
      <c r="C962" s="4" t="s">
        <v>886</v>
      </c>
      <c r="D962" s="4" t="str">
        <f t="shared" si="1"/>
        <v>MA3</v>
      </c>
      <c r="E962" s="4">
        <f t="shared" si="2"/>
        <v>754.8333333</v>
      </c>
      <c r="F962" s="4">
        <f t="shared" si="3"/>
        <v>251.6111111</v>
      </c>
      <c r="G962" s="4">
        <f t="shared" si="4"/>
        <v>755</v>
      </c>
      <c r="H962" s="4" t="str">
        <f t="shared" si="5"/>
        <v>Binh thuong</v>
      </c>
    </row>
    <row r="963" ht="14.25" customHeight="1">
      <c r="A963" s="4" t="s">
        <v>980</v>
      </c>
      <c r="B963" s="4">
        <v>54024.0</v>
      </c>
      <c r="C963" s="4" t="s">
        <v>886</v>
      </c>
      <c r="D963" s="4" t="str">
        <f t="shared" si="1"/>
        <v>MA3</v>
      </c>
      <c r="E963" s="4">
        <f t="shared" si="2"/>
        <v>4502</v>
      </c>
      <c r="F963" s="4">
        <f t="shared" si="3"/>
        <v>1500.666667</v>
      </c>
      <c r="G963" s="4">
        <f t="shared" si="4"/>
        <v>4502</v>
      </c>
      <c r="H963" s="4" t="str">
        <f t="shared" si="5"/>
        <v>Uu tien cao</v>
      </c>
    </row>
    <row r="964" ht="14.25" customHeight="1">
      <c r="A964" s="4" t="s">
        <v>981</v>
      </c>
      <c r="B964" s="4">
        <v>226160.0</v>
      </c>
      <c r="C964" s="4" t="s">
        <v>886</v>
      </c>
      <c r="D964" s="4" t="str">
        <f t="shared" si="1"/>
        <v>MA3</v>
      </c>
      <c r="E964" s="4">
        <f t="shared" si="2"/>
        <v>18846.66667</v>
      </c>
      <c r="F964" s="4">
        <f t="shared" si="3"/>
        <v>6282.222222</v>
      </c>
      <c r="G964" s="4">
        <f t="shared" si="4"/>
        <v>18847</v>
      </c>
      <c r="H964" s="4" t="str">
        <f t="shared" si="5"/>
        <v>Uu tien cao</v>
      </c>
    </row>
    <row r="965" ht="14.25" customHeight="1">
      <c r="A965" s="4" t="s">
        <v>982</v>
      </c>
      <c r="B965" s="4">
        <v>7009.0</v>
      </c>
      <c r="C965" s="4" t="s">
        <v>886</v>
      </c>
      <c r="D965" s="4" t="str">
        <f t="shared" si="1"/>
        <v>MA3</v>
      </c>
      <c r="E965" s="4">
        <f t="shared" si="2"/>
        <v>584.0833333</v>
      </c>
      <c r="F965" s="4">
        <f t="shared" si="3"/>
        <v>194.6944444</v>
      </c>
      <c r="G965" s="4">
        <f t="shared" si="4"/>
        <v>584</v>
      </c>
      <c r="H965" s="4" t="str">
        <f t="shared" si="5"/>
        <v>Binh thuong</v>
      </c>
    </row>
    <row r="966" ht="14.25" customHeight="1">
      <c r="A966" s="4" t="s">
        <v>983</v>
      </c>
      <c r="B966" s="4">
        <v>36776.0</v>
      </c>
      <c r="C966" s="4" t="s">
        <v>886</v>
      </c>
      <c r="D966" s="4" t="str">
        <f t="shared" si="1"/>
        <v>MA3</v>
      </c>
      <c r="E966" s="4">
        <f t="shared" si="2"/>
        <v>3064.666667</v>
      </c>
      <c r="F966" s="4">
        <f t="shared" si="3"/>
        <v>1021.555556</v>
      </c>
      <c r="G966" s="4">
        <f t="shared" si="4"/>
        <v>3065</v>
      </c>
      <c r="H966" s="4" t="str">
        <f t="shared" si="5"/>
        <v>Binh thuong</v>
      </c>
    </row>
    <row r="967" ht="14.25" customHeight="1">
      <c r="A967" s="4" t="s">
        <v>984</v>
      </c>
      <c r="B967" s="4">
        <v>219148.0</v>
      </c>
      <c r="C967" s="4" t="s">
        <v>886</v>
      </c>
      <c r="D967" s="4" t="str">
        <f t="shared" si="1"/>
        <v>MA3</v>
      </c>
      <c r="E967" s="4">
        <f t="shared" si="2"/>
        <v>18262.33333</v>
      </c>
      <c r="F967" s="4">
        <f t="shared" si="3"/>
        <v>6087.444444</v>
      </c>
      <c r="G967" s="4">
        <f t="shared" si="4"/>
        <v>18262</v>
      </c>
      <c r="H967" s="4" t="str">
        <f t="shared" si="5"/>
        <v>Uu tien cao</v>
      </c>
    </row>
    <row r="968" ht="14.25" customHeight="1">
      <c r="A968" s="4" t="s">
        <v>985</v>
      </c>
      <c r="B968" s="4">
        <v>4136.0</v>
      </c>
      <c r="C968" s="4" t="s">
        <v>886</v>
      </c>
      <c r="D968" s="4" t="str">
        <f t="shared" si="1"/>
        <v>MA3</v>
      </c>
      <c r="E968" s="4">
        <f t="shared" si="2"/>
        <v>344.6666667</v>
      </c>
      <c r="F968" s="4">
        <f t="shared" si="3"/>
        <v>114.8888889</v>
      </c>
      <c r="G968" s="4">
        <f t="shared" si="4"/>
        <v>345</v>
      </c>
      <c r="H968" s="4" t="str">
        <f t="shared" si="5"/>
        <v>Binh thuong</v>
      </c>
    </row>
    <row r="969" ht="14.25" customHeight="1">
      <c r="A969" s="4" t="s">
        <v>986</v>
      </c>
      <c r="B969" s="4">
        <v>32308.0</v>
      </c>
      <c r="C969" s="4" t="s">
        <v>886</v>
      </c>
      <c r="D969" s="4" t="str">
        <f t="shared" si="1"/>
        <v>MA3</v>
      </c>
      <c r="E969" s="4">
        <f t="shared" si="2"/>
        <v>2692.333333</v>
      </c>
      <c r="F969" s="4">
        <f t="shared" si="3"/>
        <v>897.4444444</v>
      </c>
      <c r="G969" s="4">
        <f t="shared" si="4"/>
        <v>2692</v>
      </c>
      <c r="H969" s="4" t="str">
        <f t="shared" si="5"/>
        <v>Binh thuong</v>
      </c>
    </row>
    <row r="970" ht="14.25" customHeight="1">
      <c r="A970" s="4" t="s">
        <v>987</v>
      </c>
      <c r="B970" s="4">
        <v>311428.0</v>
      </c>
      <c r="C970" s="4" t="s">
        <v>886</v>
      </c>
      <c r="D970" s="4" t="str">
        <f t="shared" si="1"/>
        <v>MA3</v>
      </c>
      <c r="E970" s="4">
        <f t="shared" si="2"/>
        <v>25952.33333</v>
      </c>
      <c r="F970" s="4">
        <f t="shared" si="3"/>
        <v>8650.777778</v>
      </c>
      <c r="G970" s="4">
        <f t="shared" si="4"/>
        <v>25952</v>
      </c>
      <c r="H970" s="4" t="str">
        <f t="shared" si="5"/>
        <v>Uu tien cao</v>
      </c>
    </row>
    <row r="971" ht="14.25" customHeight="1">
      <c r="A971" s="4" t="s">
        <v>988</v>
      </c>
      <c r="B971" s="4">
        <v>5533.0</v>
      </c>
      <c r="C971" s="4" t="s">
        <v>886</v>
      </c>
      <c r="D971" s="4" t="str">
        <f t="shared" si="1"/>
        <v>MA3</v>
      </c>
      <c r="E971" s="4">
        <f t="shared" si="2"/>
        <v>461.0833333</v>
      </c>
      <c r="F971" s="4">
        <f t="shared" si="3"/>
        <v>153.6944444</v>
      </c>
      <c r="G971" s="4">
        <f t="shared" si="4"/>
        <v>461</v>
      </c>
      <c r="H971" s="4" t="str">
        <f t="shared" si="5"/>
        <v>Binh thuong</v>
      </c>
    </row>
    <row r="972" ht="14.25" customHeight="1">
      <c r="A972" s="4" t="s">
        <v>989</v>
      </c>
      <c r="B972" s="4">
        <v>33709.0</v>
      </c>
      <c r="C972" s="4" t="s">
        <v>886</v>
      </c>
      <c r="D972" s="4" t="str">
        <f t="shared" si="1"/>
        <v>MA3</v>
      </c>
      <c r="E972" s="4">
        <f t="shared" si="2"/>
        <v>2809.083333</v>
      </c>
      <c r="F972" s="4">
        <f t="shared" si="3"/>
        <v>936.3611111</v>
      </c>
      <c r="G972" s="4">
        <f t="shared" si="4"/>
        <v>2809</v>
      </c>
      <c r="H972" s="4" t="str">
        <f t="shared" si="5"/>
        <v>Binh thuong</v>
      </c>
    </row>
    <row r="973" ht="14.25" customHeight="1">
      <c r="A973" s="4" t="s">
        <v>990</v>
      </c>
      <c r="B973" s="4">
        <v>76118.0</v>
      </c>
      <c r="C973" s="4" t="s">
        <v>886</v>
      </c>
      <c r="D973" s="4" t="str">
        <f t="shared" si="1"/>
        <v>MA3</v>
      </c>
      <c r="E973" s="4">
        <f t="shared" si="2"/>
        <v>6343.166667</v>
      </c>
      <c r="F973" s="4">
        <f t="shared" si="3"/>
        <v>2114.388889</v>
      </c>
      <c r="G973" s="4">
        <f t="shared" si="4"/>
        <v>6343</v>
      </c>
      <c r="H973" s="4" t="str">
        <f t="shared" si="5"/>
        <v>Uu tien cao</v>
      </c>
    </row>
    <row r="974" ht="14.25" customHeight="1">
      <c r="A974" s="4" t="s">
        <v>991</v>
      </c>
      <c r="B974" s="4">
        <v>7552.0</v>
      </c>
      <c r="C974" s="4" t="s">
        <v>886</v>
      </c>
      <c r="D974" s="4" t="str">
        <f t="shared" si="1"/>
        <v>MA3</v>
      </c>
      <c r="E974" s="4">
        <f t="shared" si="2"/>
        <v>629.3333333</v>
      </c>
      <c r="F974" s="4">
        <f t="shared" si="3"/>
        <v>209.7777778</v>
      </c>
      <c r="G974" s="4">
        <f t="shared" si="4"/>
        <v>629</v>
      </c>
      <c r="H974" s="4" t="str">
        <f t="shared" si="5"/>
        <v>Binh thuong</v>
      </c>
    </row>
    <row r="975" ht="14.25" customHeight="1">
      <c r="A975" s="4" t="s">
        <v>992</v>
      </c>
      <c r="B975" s="4">
        <v>37026.0</v>
      </c>
      <c r="C975" s="4" t="s">
        <v>886</v>
      </c>
      <c r="D975" s="4" t="str">
        <f t="shared" si="1"/>
        <v>MA3</v>
      </c>
      <c r="E975" s="4">
        <f t="shared" si="2"/>
        <v>3085.5</v>
      </c>
      <c r="F975" s="4">
        <f t="shared" si="3"/>
        <v>1028.5</v>
      </c>
      <c r="G975" s="4">
        <f t="shared" si="4"/>
        <v>3086</v>
      </c>
      <c r="H975" s="4" t="str">
        <f t="shared" si="5"/>
        <v>Binh thuong</v>
      </c>
    </row>
    <row r="976" ht="14.25" customHeight="1">
      <c r="A976" s="4" t="s">
        <v>993</v>
      </c>
      <c r="B976" s="4">
        <v>77657.0</v>
      </c>
      <c r="C976" s="4" t="s">
        <v>886</v>
      </c>
      <c r="D976" s="4" t="str">
        <f t="shared" si="1"/>
        <v>MA3</v>
      </c>
      <c r="E976" s="4">
        <f t="shared" si="2"/>
        <v>6471.416667</v>
      </c>
      <c r="F976" s="4">
        <f t="shared" si="3"/>
        <v>2157.138889</v>
      </c>
      <c r="G976" s="4">
        <f t="shared" si="4"/>
        <v>6471</v>
      </c>
      <c r="H976" s="4" t="str">
        <f t="shared" si="5"/>
        <v>Uu tien cao</v>
      </c>
    </row>
    <row r="977" ht="14.25" customHeight="1">
      <c r="A977" s="4" t="s">
        <v>994</v>
      </c>
      <c r="B977" s="4">
        <v>5654.0</v>
      </c>
      <c r="C977" s="4" t="s">
        <v>886</v>
      </c>
      <c r="D977" s="4" t="str">
        <f t="shared" si="1"/>
        <v>MA3</v>
      </c>
      <c r="E977" s="4">
        <f t="shared" si="2"/>
        <v>471.1666667</v>
      </c>
      <c r="F977" s="4">
        <f t="shared" si="3"/>
        <v>157.0555556</v>
      </c>
      <c r="G977" s="4">
        <f t="shared" si="4"/>
        <v>471</v>
      </c>
      <c r="H977" s="4" t="str">
        <f t="shared" si="5"/>
        <v>Binh thuong</v>
      </c>
    </row>
    <row r="978" ht="14.25" customHeight="1">
      <c r="A978" s="4" t="s">
        <v>995</v>
      </c>
      <c r="B978" s="4">
        <v>49263.0</v>
      </c>
      <c r="C978" s="4" t="s">
        <v>886</v>
      </c>
      <c r="D978" s="4" t="str">
        <f t="shared" si="1"/>
        <v>MA3</v>
      </c>
      <c r="E978" s="4">
        <f t="shared" si="2"/>
        <v>4105.25</v>
      </c>
      <c r="F978" s="4">
        <f t="shared" si="3"/>
        <v>1368.416667</v>
      </c>
      <c r="G978" s="4">
        <f t="shared" si="4"/>
        <v>4105</v>
      </c>
      <c r="H978" s="4" t="str">
        <f t="shared" si="5"/>
        <v>Uu tien cao</v>
      </c>
    </row>
    <row r="979" ht="14.25" customHeight="1">
      <c r="A979" s="4" t="s">
        <v>996</v>
      </c>
      <c r="B979" s="4">
        <v>385456.0</v>
      </c>
      <c r="C979" s="4" t="s">
        <v>886</v>
      </c>
      <c r="D979" s="4" t="str">
        <f t="shared" si="1"/>
        <v>MA3</v>
      </c>
      <c r="E979" s="4">
        <f t="shared" si="2"/>
        <v>32121.33333</v>
      </c>
      <c r="F979" s="4">
        <f t="shared" si="3"/>
        <v>10707.11111</v>
      </c>
      <c r="G979" s="4">
        <f t="shared" si="4"/>
        <v>32121</v>
      </c>
      <c r="H979" s="4" t="str">
        <f t="shared" si="5"/>
        <v>Uu tien cao</v>
      </c>
    </row>
    <row r="980" ht="14.25" customHeight="1">
      <c r="A980" s="4" t="s">
        <v>997</v>
      </c>
      <c r="B980" s="4">
        <v>14824.0</v>
      </c>
      <c r="C980" s="4" t="s">
        <v>886</v>
      </c>
      <c r="D980" s="4" t="str">
        <f t="shared" si="1"/>
        <v>MA3</v>
      </c>
      <c r="E980" s="4">
        <f t="shared" si="2"/>
        <v>1235.333333</v>
      </c>
      <c r="F980" s="4">
        <f t="shared" si="3"/>
        <v>411.7777778</v>
      </c>
      <c r="G980" s="4">
        <f t="shared" si="4"/>
        <v>1235</v>
      </c>
      <c r="H980" s="4" t="str">
        <f t="shared" si="5"/>
        <v>Binh thuong</v>
      </c>
    </row>
    <row r="981" ht="14.25" customHeight="1">
      <c r="A981" s="4" t="s">
        <v>998</v>
      </c>
      <c r="B981" s="4">
        <v>68463.0</v>
      </c>
      <c r="C981" s="4" t="s">
        <v>886</v>
      </c>
      <c r="D981" s="4" t="str">
        <f t="shared" si="1"/>
        <v>MA3</v>
      </c>
      <c r="E981" s="4">
        <f t="shared" si="2"/>
        <v>5705.25</v>
      </c>
      <c r="F981" s="4">
        <f t="shared" si="3"/>
        <v>1901.75</v>
      </c>
      <c r="G981" s="4">
        <f t="shared" si="4"/>
        <v>5705</v>
      </c>
      <c r="H981" s="4" t="str">
        <f t="shared" si="5"/>
        <v>Uu tien cao</v>
      </c>
    </row>
    <row r="982" ht="14.25" customHeight="1">
      <c r="A982" s="4" t="s">
        <v>999</v>
      </c>
      <c r="B982" s="4">
        <v>65369.0</v>
      </c>
      <c r="C982" s="4" t="s">
        <v>886</v>
      </c>
      <c r="D982" s="4" t="str">
        <f t="shared" si="1"/>
        <v>MA3</v>
      </c>
      <c r="E982" s="4">
        <f t="shared" si="2"/>
        <v>5447.416667</v>
      </c>
      <c r="F982" s="4">
        <f t="shared" si="3"/>
        <v>1815.805556</v>
      </c>
      <c r="G982" s="4">
        <f t="shared" si="4"/>
        <v>5447</v>
      </c>
      <c r="H982" s="4" t="str">
        <f t="shared" si="5"/>
        <v>Uu tien cao</v>
      </c>
    </row>
    <row r="983" ht="14.25" customHeight="1">
      <c r="A983" s="4" t="s">
        <v>1000</v>
      </c>
      <c r="B983" s="4">
        <v>10404.0</v>
      </c>
      <c r="C983" s="4" t="s">
        <v>886</v>
      </c>
      <c r="D983" s="4" t="str">
        <f t="shared" si="1"/>
        <v>MA3</v>
      </c>
      <c r="E983" s="4">
        <f t="shared" si="2"/>
        <v>867</v>
      </c>
      <c r="F983" s="4">
        <f t="shared" si="3"/>
        <v>289</v>
      </c>
      <c r="G983" s="4">
        <f t="shared" si="4"/>
        <v>867</v>
      </c>
      <c r="H983" s="4" t="str">
        <f t="shared" si="5"/>
        <v>Binh thuong</v>
      </c>
    </row>
    <row r="984" ht="14.25" customHeight="1">
      <c r="A984" s="4" t="s">
        <v>1001</v>
      </c>
      <c r="B984" s="4">
        <v>41406.0</v>
      </c>
      <c r="C984" s="4" t="s">
        <v>886</v>
      </c>
      <c r="D984" s="4" t="str">
        <f t="shared" si="1"/>
        <v>MA3</v>
      </c>
      <c r="E984" s="4">
        <f t="shared" si="2"/>
        <v>3450.5</v>
      </c>
      <c r="F984" s="4">
        <f t="shared" si="3"/>
        <v>1150.166667</v>
      </c>
      <c r="G984" s="4">
        <f t="shared" si="4"/>
        <v>3451</v>
      </c>
      <c r="H984" s="4" t="str">
        <f t="shared" si="5"/>
        <v>Uu tien cao</v>
      </c>
    </row>
    <row r="985" ht="14.25" customHeight="1">
      <c r="A985" s="4" t="s">
        <v>1002</v>
      </c>
      <c r="B985" s="4">
        <v>19270.0</v>
      </c>
      <c r="C985" s="4" t="s">
        <v>886</v>
      </c>
      <c r="D985" s="4" t="str">
        <f t="shared" si="1"/>
        <v>MA3</v>
      </c>
      <c r="E985" s="4">
        <f t="shared" si="2"/>
        <v>1605.833333</v>
      </c>
      <c r="F985" s="4">
        <f t="shared" si="3"/>
        <v>535.2777778</v>
      </c>
      <c r="G985" s="4">
        <f t="shared" si="4"/>
        <v>1606</v>
      </c>
      <c r="H985" s="4" t="str">
        <f t="shared" si="5"/>
        <v>Binh thuong</v>
      </c>
    </row>
    <row r="986" ht="14.25" customHeight="1">
      <c r="A986" s="4" t="s">
        <v>1003</v>
      </c>
      <c r="B986" s="4">
        <v>2847.0</v>
      </c>
      <c r="C986" s="4" t="s">
        <v>886</v>
      </c>
      <c r="D986" s="4" t="str">
        <f t="shared" si="1"/>
        <v>MA3</v>
      </c>
      <c r="E986" s="4">
        <f t="shared" si="2"/>
        <v>237.25</v>
      </c>
      <c r="F986" s="4">
        <f t="shared" si="3"/>
        <v>79.08333333</v>
      </c>
      <c r="G986" s="4">
        <f t="shared" si="4"/>
        <v>237</v>
      </c>
      <c r="H986" s="4" t="str">
        <f t="shared" si="5"/>
        <v>Binh thuong</v>
      </c>
    </row>
    <row r="987" ht="14.25" customHeight="1">
      <c r="A987" s="4" t="s">
        <v>1004</v>
      </c>
      <c r="B987" s="4">
        <v>51328.0</v>
      </c>
      <c r="C987" s="4" t="s">
        <v>886</v>
      </c>
      <c r="D987" s="4" t="str">
        <f t="shared" si="1"/>
        <v>MA3</v>
      </c>
      <c r="E987" s="4">
        <f t="shared" si="2"/>
        <v>4277.333333</v>
      </c>
      <c r="F987" s="4">
        <f t="shared" si="3"/>
        <v>1425.777778</v>
      </c>
      <c r="G987" s="4">
        <f t="shared" si="4"/>
        <v>4277</v>
      </c>
      <c r="H987" s="4" t="str">
        <f t="shared" si="5"/>
        <v>Uu tien cao</v>
      </c>
    </row>
    <row r="988" ht="14.25" customHeight="1">
      <c r="A988" s="4" t="s">
        <v>1005</v>
      </c>
      <c r="B988" s="4">
        <v>2852.0</v>
      </c>
      <c r="C988" s="4" t="s">
        <v>886</v>
      </c>
      <c r="D988" s="4" t="str">
        <f t="shared" si="1"/>
        <v>MA3</v>
      </c>
      <c r="E988" s="4">
        <f t="shared" si="2"/>
        <v>237.6666667</v>
      </c>
      <c r="F988" s="4">
        <f t="shared" si="3"/>
        <v>79.22222222</v>
      </c>
      <c r="G988" s="4">
        <f t="shared" si="4"/>
        <v>238</v>
      </c>
      <c r="H988" s="4" t="str">
        <f t="shared" si="5"/>
        <v>Binh thuong</v>
      </c>
    </row>
    <row r="989" ht="14.25" customHeight="1">
      <c r="A989" s="4" t="s">
        <v>1006</v>
      </c>
      <c r="B989" s="4">
        <v>7552.0</v>
      </c>
      <c r="C989" s="4" t="s">
        <v>886</v>
      </c>
      <c r="D989" s="4" t="str">
        <f t="shared" si="1"/>
        <v>MA3</v>
      </c>
      <c r="E989" s="4">
        <f t="shared" si="2"/>
        <v>629.3333333</v>
      </c>
      <c r="F989" s="4">
        <f t="shared" si="3"/>
        <v>209.7777778</v>
      </c>
      <c r="G989" s="4">
        <f t="shared" si="4"/>
        <v>629</v>
      </c>
      <c r="H989" s="4" t="str">
        <f t="shared" si="5"/>
        <v>Binh thuong</v>
      </c>
    </row>
    <row r="990" ht="14.25" customHeight="1">
      <c r="A990" s="4" t="s">
        <v>1007</v>
      </c>
      <c r="B990" s="4">
        <v>22685.0</v>
      </c>
      <c r="C990" s="4" t="s">
        <v>886</v>
      </c>
      <c r="D990" s="4" t="str">
        <f t="shared" si="1"/>
        <v>MA3</v>
      </c>
      <c r="E990" s="4">
        <f t="shared" si="2"/>
        <v>1890.416667</v>
      </c>
      <c r="F990" s="4">
        <f t="shared" si="3"/>
        <v>630.1388889</v>
      </c>
      <c r="G990" s="4">
        <f t="shared" si="4"/>
        <v>1890</v>
      </c>
      <c r="H990" s="4" t="str">
        <f t="shared" si="5"/>
        <v>Binh thuong</v>
      </c>
    </row>
    <row r="991" ht="14.25" customHeight="1">
      <c r="A991" s="4" t="s">
        <v>1008</v>
      </c>
      <c r="B991" s="4">
        <v>1507.0</v>
      </c>
      <c r="C991" s="4" t="s">
        <v>886</v>
      </c>
      <c r="D991" s="4" t="str">
        <f t="shared" si="1"/>
        <v>MA3</v>
      </c>
      <c r="E991" s="4">
        <f t="shared" si="2"/>
        <v>125.5833333</v>
      </c>
      <c r="F991" s="4">
        <f t="shared" si="3"/>
        <v>41.86111111</v>
      </c>
      <c r="G991" s="4">
        <f t="shared" si="4"/>
        <v>126</v>
      </c>
      <c r="H991" s="4" t="str">
        <f t="shared" si="5"/>
        <v>Binh thuong</v>
      </c>
    </row>
    <row r="992" ht="14.25" customHeight="1">
      <c r="A992" s="4" t="s">
        <v>1009</v>
      </c>
      <c r="B992" s="4">
        <v>3182.0</v>
      </c>
      <c r="C992" s="4" t="s">
        <v>886</v>
      </c>
      <c r="D992" s="4" t="str">
        <f t="shared" si="1"/>
        <v>MA3</v>
      </c>
      <c r="E992" s="4">
        <f t="shared" si="2"/>
        <v>265.1666667</v>
      </c>
      <c r="F992" s="4">
        <f t="shared" si="3"/>
        <v>88.38888889</v>
      </c>
      <c r="G992" s="4">
        <f t="shared" si="4"/>
        <v>265</v>
      </c>
      <c r="H992" s="4" t="str">
        <f t="shared" si="5"/>
        <v>Binh thuong</v>
      </c>
    </row>
    <row r="993" ht="14.25" customHeight="1">
      <c r="A993" s="4" t="s">
        <v>1010</v>
      </c>
      <c r="B993" s="4">
        <v>17163.0</v>
      </c>
      <c r="C993" s="4" t="s">
        <v>886</v>
      </c>
      <c r="D993" s="4" t="str">
        <f t="shared" si="1"/>
        <v>MA3</v>
      </c>
      <c r="E993" s="4">
        <f t="shared" si="2"/>
        <v>1430.25</v>
      </c>
      <c r="F993" s="4">
        <f t="shared" si="3"/>
        <v>476.75</v>
      </c>
      <c r="G993" s="4">
        <f t="shared" si="4"/>
        <v>1430</v>
      </c>
      <c r="H993" s="4" t="str">
        <f t="shared" si="5"/>
        <v>Binh thuong</v>
      </c>
    </row>
    <row r="994" ht="14.25" customHeight="1">
      <c r="A994" s="4" t="s">
        <v>1011</v>
      </c>
      <c r="B994" s="4">
        <v>2042.0</v>
      </c>
      <c r="C994" s="4" t="s">
        <v>886</v>
      </c>
      <c r="D994" s="4" t="str">
        <f t="shared" si="1"/>
        <v>MA3</v>
      </c>
      <c r="E994" s="4">
        <f t="shared" si="2"/>
        <v>170.1666667</v>
      </c>
      <c r="F994" s="4">
        <f t="shared" si="3"/>
        <v>56.72222222</v>
      </c>
      <c r="G994" s="4">
        <f t="shared" si="4"/>
        <v>170</v>
      </c>
      <c r="H994" s="4" t="str">
        <f t="shared" si="5"/>
        <v>Binh thuong</v>
      </c>
    </row>
    <row r="995" ht="14.25" customHeight="1">
      <c r="A995" s="4" t="s">
        <v>1012</v>
      </c>
      <c r="B995" s="4">
        <v>20046.0</v>
      </c>
      <c r="C995" s="4" t="s">
        <v>886</v>
      </c>
      <c r="D995" s="4" t="str">
        <f t="shared" si="1"/>
        <v>MA3</v>
      </c>
      <c r="E995" s="4">
        <f t="shared" si="2"/>
        <v>1670.5</v>
      </c>
      <c r="F995" s="4">
        <f t="shared" si="3"/>
        <v>556.8333333</v>
      </c>
      <c r="G995" s="4">
        <f t="shared" si="4"/>
        <v>1671</v>
      </c>
      <c r="H995" s="4" t="str">
        <f t="shared" si="5"/>
        <v>Binh thuong</v>
      </c>
    </row>
    <row r="996" ht="14.25" customHeight="1">
      <c r="A996" s="4" t="s">
        <v>1013</v>
      </c>
      <c r="B996" s="4">
        <v>9772.0</v>
      </c>
      <c r="C996" s="4" t="s">
        <v>886</v>
      </c>
      <c r="D996" s="4" t="str">
        <f t="shared" si="1"/>
        <v>MA3</v>
      </c>
      <c r="E996" s="4">
        <f t="shared" si="2"/>
        <v>814.3333333</v>
      </c>
      <c r="F996" s="4">
        <f t="shared" si="3"/>
        <v>271.4444444</v>
      </c>
      <c r="G996" s="4">
        <f t="shared" si="4"/>
        <v>814</v>
      </c>
      <c r="H996" s="4" t="str">
        <f t="shared" si="5"/>
        <v>Binh thuong</v>
      </c>
    </row>
    <row r="997" ht="14.25" customHeight="1">
      <c r="A997" s="4" t="s">
        <v>1014</v>
      </c>
      <c r="B997" s="4">
        <v>1364.0</v>
      </c>
      <c r="C997" s="4" t="s">
        <v>886</v>
      </c>
      <c r="D997" s="4" t="str">
        <f t="shared" si="1"/>
        <v>MA3</v>
      </c>
      <c r="E997" s="4">
        <f t="shared" si="2"/>
        <v>113.6666667</v>
      </c>
      <c r="F997" s="4">
        <f t="shared" si="3"/>
        <v>37.88888889</v>
      </c>
      <c r="G997" s="4">
        <f t="shared" si="4"/>
        <v>114</v>
      </c>
      <c r="H997" s="4" t="str">
        <f t="shared" si="5"/>
        <v>Binh thuong</v>
      </c>
    </row>
    <row r="998" ht="14.25" customHeight="1">
      <c r="A998" s="4" t="s">
        <v>1015</v>
      </c>
      <c r="B998" s="4">
        <v>7660.0</v>
      </c>
      <c r="C998" s="4" t="s">
        <v>886</v>
      </c>
      <c r="D998" s="4" t="str">
        <f t="shared" si="1"/>
        <v>MA3</v>
      </c>
      <c r="E998" s="4">
        <f t="shared" si="2"/>
        <v>638.3333333</v>
      </c>
      <c r="F998" s="4">
        <f t="shared" si="3"/>
        <v>212.7777778</v>
      </c>
      <c r="G998" s="4">
        <f t="shared" si="4"/>
        <v>638</v>
      </c>
      <c r="H998" s="4" t="str">
        <f t="shared" si="5"/>
        <v>Binh thuong</v>
      </c>
    </row>
    <row r="999" ht="14.25" customHeight="1">
      <c r="A999" s="4" t="s">
        <v>1016</v>
      </c>
      <c r="B999" s="4">
        <v>8601.0</v>
      </c>
      <c r="C999" s="4" t="s">
        <v>886</v>
      </c>
      <c r="D999" s="4" t="str">
        <f t="shared" si="1"/>
        <v>MA3</v>
      </c>
      <c r="E999" s="4">
        <f t="shared" si="2"/>
        <v>716.75</v>
      </c>
      <c r="F999" s="4">
        <f t="shared" si="3"/>
        <v>238.9166667</v>
      </c>
      <c r="G999" s="4">
        <f t="shared" si="4"/>
        <v>717</v>
      </c>
      <c r="H999" s="4" t="str">
        <f t="shared" si="5"/>
        <v>Binh thuong</v>
      </c>
    </row>
    <row r="1000" ht="14.25" customHeight="1">
      <c r="A1000" s="4" t="s">
        <v>1017</v>
      </c>
      <c r="B1000" s="4">
        <v>484.0</v>
      </c>
      <c r="C1000" s="4" t="s">
        <v>886</v>
      </c>
      <c r="D1000" s="4" t="str">
        <f t="shared" si="1"/>
        <v>MA3</v>
      </c>
      <c r="E1000" s="4">
        <f t="shared" si="2"/>
        <v>40.33333333</v>
      </c>
      <c r="F1000" s="4">
        <f t="shared" si="3"/>
        <v>13.44444444</v>
      </c>
      <c r="G1000" s="4">
        <f t="shared" si="4"/>
        <v>40</v>
      </c>
      <c r="H1000" s="4" t="str">
        <f t="shared" si="5"/>
        <v>Binh thuong</v>
      </c>
    </row>
    <row r="1001" ht="14.25" customHeight="1">
      <c r="A1001" s="4" t="s">
        <v>1018</v>
      </c>
      <c r="B1001" s="4">
        <v>5067.0</v>
      </c>
      <c r="C1001" s="4" t="s">
        <v>886</v>
      </c>
      <c r="D1001" s="4" t="str">
        <f t="shared" si="1"/>
        <v>MA3</v>
      </c>
      <c r="E1001" s="4">
        <f t="shared" si="2"/>
        <v>422.25</v>
      </c>
      <c r="F1001" s="4">
        <f t="shared" si="3"/>
        <v>140.75</v>
      </c>
      <c r="G1001" s="4">
        <f t="shared" si="4"/>
        <v>422</v>
      </c>
      <c r="H1001" s="4" t="str">
        <f t="shared" si="5"/>
        <v>Binh thuong</v>
      </c>
    </row>
    <row r="1002" ht="14.25" customHeight="1">
      <c r="A1002" s="4" t="s">
        <v>1019</v>
      </c>
      <c r="B1002" s="4">
        <v>162195.0</v>
      </c>
      <c r="C1002" s="4" t="s">
        <v>886</v>
      </c>
      <c r="D1002" s="4" t="str">
        <f t="shared" si="1"/>
        <v>MA3</v>
      </c>
      <c r="E1002" s="4">
        <f t="shared" si="2"/>
        <v>13516.25</v>
      </c>
      <c r="F1002" s="4">
        <f t="shared" si="3"/>
        <v>4505.416667</v>
      </c>
      <c r="G1002" s="4">
        <f t="shared" si="4"/>
        <v>13516</v>
      </c>
      <c r="H1002" s="4" t="str">
        <f t="shared" si="5"/>
        <v>Uu tien cao</v>
      </c>
    </row>
    <row r="1003" ht="14.25" customHeight="1">
      <c r="A1003" s="4" t="s">
        <v>1020</v>
      </c>
      <c r="B1003" s="4">
        <v>5948.0</v>
      </c>
      <c r="C1003" s="4" t="s">
        <v>886</v>
      </c>
      <c r="D1003" s="4" t="str">
        <f t="shared" si="1"/>
        <v>MA3</v>
      </c>
      <c r="E1003" s="4">
        <f t="shared" si="2"/>
        <v>495.6666667</v>
      </c>
      <c r="F1003" s="4">
        <f t="shared" si="3"/>
        <v>165.2222222</v>
      </c>
      <c r="G1003" s="4">
        <f t="shared" si="4"/>
        <v>496</v>
      </c>
      <c r="H1003" s="4" t="str">
        <f t="shared" si="5"/>
        <v>Binh thuong</v>
      </c>
    </row>
    <row r="1004" ht="14.25" customHeight="1">
      <c r="A1004" s="4" t="s">
        <v>1021</v>
      </c>
      <c r="B1004" s="4">
        <v>17305.0</v>
      </c>
      <c r="C1004" s="4" t="s">
        <v>886</v>
      </c>
      <c r="D1004" s="4" t="str">
        <f t="shared" si="1"/>
        <v>MA3</v>
      </c>
      <c r="E1004" s="4">
        <f t="shared" si="2"/>
        <v>1442.083333</v>
      </c>
      <c r="F1004" s="4">
        <f t="shared" si="3"/>
        <v>480.6944444</v>
      </c>
      <c r="G1004" s="4">
        <f t="shared" si="4"/>
        <v>1442</v>
      </c>
      <c r="H1004" s="4" t="str">
        <f t="shared" si="5"/>
        <v>Binh thuong</v>
      </c>
    </row>
    <row r="1005" ht="14.25" customHeight="1">
      <c r="A1005" s="4" t="s">
        <v>1022</v>
      </c>
      <c r="B1005" s="4">
        <v>122384.0</v>
      </c>
      <c r="C1005" s="4" t="s">
        <v>886</v>
      </c>
      <c r="D1005" s="4" t="str">
        <f t="shared" si="1"/>
        <v>MA3</v>
      </c>
      <c r="E1005" s="4">
        <f t="shared" si="2"/>
        <v>10198.66667</v>
      </c>
      <c r="F1005" s="4">
        <f t="shared" si="3"/>
        <v>3399.555556</v>
      </c>
      <c r="G1005" s="4">
        <f t="shared" si="4"/>
        <v>10199</v>
      </c>
      <c r="H1005" s="4" t="str">
        <f t="shared" si="5"/>
        <v>Uu tien cao</v>
      </c>
    </row>
    <row r="1006" ht="14.25" customHeight="1">
      <c r="A1006" s="4" t="s">
        <v>1023</v>
      </c>
      <c r="B1006" s="4">
        <v>5784.0</v>
      </c>
      <c r="C1006" s="4" t="s">
        <v>886</v>
      </c>
      <c r="D1006" s="4" t="str">
        <f t="shared" si="1"/>
        <v>MA3</v>
      </c>
      <c r="E1006" s="4">
        <f t="shared" si="2"/>
        <v>482</v>
      </c>
      <c r="F1006" s="4">
        <f t="shared" si="3"/>
        <v>160.6666667</v>
      </c>
      <c r="G1006" s="4">
        <f t="shared" si="4"/>
        <v>482</v>
      </c>
      <c r="H1006" s="4" t="str">
        <f t="shared" si="5"/>
        <v>Binh thuong</v>
      </c>
    </row>
    <row r="1007" ht="14.25" customHeight="1">
      <c r="A1007" s="4" t="s">
        <v>1024</v>
      </c>
      <c r="B1007" s="4">
        <v>18241.0</v>
      </c>
      <c r="C1007" s="4" t="s">
        <v>886</v>
      </c>
      <c r="D1007" s="4" t="str">
        <f t="shared" si="1"/>
        <v>MA3</v>
      </c>
      <c r="E1007" s="4">
        <f t="shared" si="2"/>
        <v>1520.083333</v>
      </c>
      <c r="F1007" s="4">
        <f t="shared" si="3"/>
        <v>506.6944444</v>
      </c>
      <c r="G1007" s="4">
        <f t="shared" si="4"/>
        <v>1520</v>
      </c>
      <c r="H1007" s="4" t="str">
        <f t="shared" si="5"/>
        <v>Binh thuong</v>
      </c>
    </row>
    <row r="1008" ht="14.25" customHeight="1">
      <c r="A1008" s="4" t="s">
        <v>1025</v>
      </c>
      <c r="B1008" s="4">
        <v>81135.0</v>
      </c>
      <c r="C1008" s="4" t="s">
        <v>886</v>
      </c>
      <c r="D1008" s="4" t="str">
        <f t="shared" si="1"/>
        <v>MA3</v>
      </c>
      <c r="E1008" s="4">
        <f t="shared" si="2"/>
        <v>6761.25</v>
      </c>
      <c r="F1008" s="4">
        <f t="shared" si="3"/>
        <v>2253.75</v>
      </c>
      <c r="G1008" s="4">
        <f t="shared" si="4"/>
        <v>6761</v>
      </c>
      <c r="H1008" s="4" t="str">
        <f t="shared" si="5"/>
        <v>Uu tien cao</v>
      </c>
    </row>
    <row r="1009" ht="14.25" customHeight="1">
      <c r="A1009" s="4" t="s">
        <v>1026</v>
      </c>
      <c r="B1009" s="4">
        <v>3097.0</v>
      </c>
      <c r="C1009" s="4" t="s">
        <v>886</v>
      </c>
      <c r="D1009" s="4" t="str">
        <f t="shared" si="1"/>
        <v>MA3</v>
      </c>
      <c r="E1009" s="4">
        <f t="shared" si="2"/>
        <v>258.0833333</v>
      </c>
      <c r="F1009" s="4">
        <f t="shared" si="3"/>
        <v>86.02777778</v>
      </c>
      <c r="G1009" s="4">
        <f t="shared" si="4"/>
        <v>258</v>
      </c>
      <c r="H1009" s="4" t="str">
        <f t="shared" si="5"/>
        <v>Binh thuong</v>
      </c>
    </row>
    <row r="1010" ht="14.25" customHeight="1">
      <c r="A1010" s="4" t="s">
        <v>1027</v>
      </c>
      <c r="B1010" s="4">
        <v>13178.0</v>
      </c>
      <c r="C1010" s="4" t="s">
        <v>886</v>
      </c>
      <c r="D1010" s="4" t="str">
        <f t="shared" si="1"/>
        <v>MA3</v>
      </c>
      <c r="E1010" s="4">
        <f t="shared" si="2"/>
        <v>1098.166667</v>
      </c>
      <c r="F1010" s="4">
        <f t="shared" si="3"/>
        <v>366.0555556</v>
      </c>
      <c r="G1010" s="4">
        <f t="shared" si="4"/>
        <v>1098</v>
      </c>
      <c r="H1010" s="4" t="str">
        <f t="shared" si="5"/>
        <v>Binh thuong</v>
      </c>
    </row>
    <row r="1011" ht="14.25" customHeight="1">
      <c r="A1011" s="4" t="s">
        <v>1028</v>
      </c>
      <c r="B1011" s="4">
        <v>212929.0</v>
      </c>
      <c r="C1011" s="4" t="s">
        <v>886</v>
      </c>
      <c r="D1011" s="4" t="str">
        <f t="shared" si="1"/>
        <v>MA3</v>
      </c>
      <c r="E1011" s="4">
        <f t="shared" si="2"/>
        <v>17744.08333</v>
      </c>
      <c r="F1011" s="4">
        <f t="shared" si="3"/>
        <v>5914.694444</v>
      </c>
      <c r="G1011" s="4">
        <f t="shared" si="4"/>
        <v>17744</v>
      </c>
      <c r="H1011" s="4" t="str">
        <f t="shared" si="5"/>
        <v>Uu tien cao</v>
      </c>
    </row>
    <row r="1012" ht="14.25" customHeight="1">
      <c r="A1012" s="4" t="s">
        <v>1029</v>
      </c>
      <c r="B1012" s="4">
        <v>3297.0</v>
      </c>
      <c r="C1012" s="4" t="s">
        <v>886</v>
      </c>
      <c r="D1012" s="4" t="str">
        <f t="shared" si="1"/>
        <v>MA3</v>
      </c>
      <c r="E1012" s="4">
        <f t="shared" si="2"/>
        <v>274.75</v>
      </c>
      <c r="F1012" s="4">
        <f t="shared" si="3"/>
        <v>91.58333333</v>
      </c>
      <c r="G1012" s="4">
        <f t="shared" si="4"/>
        <v>275</v>
      </c>
      <c r="H1012" s="4" t="str">
        <f t="shared" si="5"/>
        <v>Binh thuong</v>
      </c>
    </row>
    <row r="1013" ht="14.25" customHeight="1">
      <c r="A1013" s="4" t="s">
        <v>1030</v>
      </c>
      <c r="B1013" s="4">
        <v>8845.0</v>
      </c>
      <c r="C1013" s="4" t="s">
        <v>886</v>
      </c>
      <c r="D1013" s="4" t="str">
        <f t="shared" si="1"/>
        <v>MA3</v>
      </c>
      <c r="E1013" s="4">
        <f t="shared" si="2"/>
        <v>737.0833333</v>
      </c>
      <c r="F1013" s="4">
        <f t="shared" si="3"/>
        <v>245.6944444</v>
      </c>
      <c r="G1013" s="4">
        <f t="shared" si="4"/>
        <v>737</v>
      </c>
      <c r="H1013" s="4" t="str">
        <f t="shared" si="5"/>
        <v>Binh thuong</v>
      </c>
    </row>
    <row r="1014" ht="14.25" customHeight="1">
      <c r="A1014" s="4" t="s">
        <v>1031</v>
      </c>
      <c r="B1014" s="4">
        <v>46881.0</v>
      </c>
      <c r="C1014" s="4" t="s">
        <v>886</v>
      </c>
      <c r="D1014" s="4" t="str">
        <f t="shared" si="1"/>
        <v>MA3</v>
      </c>
      <c r="E1014" s="4">
        <f t="shared" si="2"/>
        <v>3906.75</v>
      </c>
      <c r="F1014" s="4">
        <f t="shared" si="3"/>
        <v>1302.25</v>
      </c>
      <c r="G1014" s="4">
        <f t="shared" si="4"/>
        <v>3907</v>
      </c>
      <c r="H1014" s="4" t="str">
        <f t="shared" si="5"/>
        <v>Uu tien cao</v>
      </c>
    </row>
    <row r="1015" ht="14.25" customHeight="1">
      <c r="A1015" s="4" t="s">
        <v>1032</v>
      </c>
      <c r="B1015" s="4">
        <v>2632.0</v>
      </c>
      <c r="C1015" s="4" t="s">
        <v>886</v>
      </c>
      <c r="D1015" s="4" t="str">
        <f t="shared" si="1"/>
        <v>MA3</v>
      </c>
      <c r="E1015" s="4">
        <f t="shared" si="2"/>
        <v>219.3333333</v>
      </c>
      <c r="F1015" s="4">
        <f t="shared" si="3"/>
        <v>73.11111111</v>
      </c>
      <c r="G1015" s="4">
        <f t="shared" si="4"/>
        <v>219</v>
      </c>
      <c r="H1015" s="4" t="str">
        <f t="shared" si="5"/>
        <v>Binh thuong</v>
      </c>
    </row>
    <row r="1016" ht="14.25" customHeight="1">
      <c r="A1016" s="4" t="s">
        <v>1033</v>
      </c>
      <c r="B1016" s="4">
        <v>9084.0</v>
      </c>
      <c r="C1016" s="4" t="s">
        <v>886</v>
      </c>
      <c r="D1016" s="4" t="str">
        <f t="shared" si="1"/>
        <v>MA3</v>
      </c>
      <c r="E1016" s="4">
        <f t="shared" si="2"/>
        <v>757</v>
      </c>
      <c r="F1016" s="4">
        <f t="shared" si="3"/>
        <v>252.3333333</v>
      </c>
      <c r="G1016" s="4">
        <f t="shared" si="4"/>
        <v>757</v>
      </c>
      <c r="H1016" s="4" t="str">
        <f t="shared" si="5"/>
        <v>Binh thuong</v>
      </c>
    </row>
    <row r="1017" ht="14.25" customHeight="1">
      <c r="A1017" s="4" t="s">
        <v>1034</v>
      </c>
      <c r="B1017" s="4">
        <v>22957.0</v>
      </c>
      <c r="C1017" s="4" t="s">
        <v>886</v>
      </c>
      <c r="D1017" s="4" t="str">
        <f t="shared" si="1"/>
        <v>MA3</v>
      </c>
      <c r="E1017" s="4">
        <f t="shared" si="2"/>
        <v>1913.083333</v>
      </c>
      <c r="F1017" s="4">
        <f t="shared" si="3"/>
        <v>637.6944444</v>
      </c>
      <c r="G1017" s="4">
        <f t="shared" si="4"/>
        <v>1913</v>
      </c>
      <c r="H1017" s="4" t="str">
        <f t="shared" si="5"/>
        <v>Binh thuong</v>
      </c>
    </row>
    <row r="1018" ht="14.25" customHeight="1">
      <c r="A1018" s="4" t="s">
        <v>1035</v>
      </c>
      <c r="B1018" s="4">
        <v>1980.0</v>
      </c>
      <c r="C1018" s="4" t="s">
        <v>886</v>
      </c>
      <c r="D1018" s="4" t="str">
        <f t="shared" si="1"/>
        <v>MA3</v>
      </c>
      <c r="E1018" s="4">
        <f t="shared" si="2"/>
        <v>165</v>
      </c>
      <c r="F1018" s="4">
        <f t="shared" si="3"/>
        <v>55</v>
      </c>
      <c r="G1018" s="4">
        <f t="shared" si="4"/>
        <v>165</v>
      </c>
      <c r="H1018" s="4" t="str">
        <f t="shared" si="5"/>
        <v>Binh thuong</v>
      </c>
    </row>
    <row r="1019" ht="14.25" customHeight="1">
      <c r="A1019" s="4" t="s">
        <v>1036</v>
      </c>
      <c r="B1019" s="4">
        <v>9666.0</v>
      </c>
      <c r="C1019" s="4" t="s">
        <v>886</v>
      </c>
      <c r="D1019" s="4" t="str">
        <f t="shared" si="1"/>
        <v>MA3</v>
      </c>
      <c r="E1019" s="4">
        <f t="shared" si="2"/>
        <v>805.5</v>
      </c>
      <c r="F1019" s="4">
        <f t="shared" si="3"/>
        <v>268.5</v>
      </c>
      <c r="G1019" s="4">
        <f t="shared" si="4"/>
        <v>806</v>
      </c>
      <c r="H1019" s="4" t="str">
        <f t="shared" si="5"/>
        <v>Binh thuong</v>
      </c>
    </row>
    <row r="1020" ht="14.25" customHeight="1">
      <c r="A1020" s="4" t="s">
        <v>1037</v>
      </c>
      <c r="B1020" s="4">
        <v>74645.0</v>
      </c>
      <c r="C1020" s="4" t="s">
        <v>886</v>
      </c>
      <c r="D1020" s="4" t="str">
        <f t="shared" si="1"/>
        <v>MA3</v>
      </c>
      <c r="E1020" s="4">
        <f t="shared" si="2"/>
        <v>6220.416667</v>
      </c>
      <c r="F1020" s="4">
        <f t="shared" si="3"/>
        <v>2073.472222</v>
      </c>
      <c r="G1020" s="4">
        <f t="shared" si="4"/>
        <v>6220</v>
      </c>
      <c r="H1020" s="4" t="str">
        <f t="shared" si="5"/>
        <v>Uu tien cao</v>
      </c>
    </row>
    <row r="1021" ht="14.25" customHeight="1">
      <c r="A1021" s="4" t="s">
        <v>1038</v>
      </c>
      <c r="B1021" s="4">
        <v>3703.0</v>
      </c>
      <c r="C1021" s="4" t="s">
        <v>886</v>
      </c>
      <c r="D1021" s="4" t="str">
        <f t="shared" si="1"/>
        <v>MA3</v>
      </c>
      <c r="E1021" s="4">
        <f t="shared" si="2"/>
        <v>308.5833333</v>
      </c>
      <c r="F1021" s="4">
        <f t="shared" si="3"/>
        <v>102.8611111</v>
      </c>
      <c r="G1021" s="4">
        <f t="shared" si="4"/>
        <v>309</v>
      </c>
      <c r="H1021" s="4" t="str">
        <f t="shared" si="5"/>
        <v>Binh thuong</v>
      </c>
    </row>
    <row r="1022" ht="14.25" customHeight="1">
      <c r="A1022" s="4" t="s">
        <v>1039</v>
      </c>
      <c r="B1022" s="4">
        <v>17336.0</v>
      </c>
      <c r="C1022" s="4" t="s">
        <v>886</v>
      </c>
      <c r="D1022" s="4" t="str">
        <f t="shared" si="1"/>
        <v>MA3</v>
      </c>
      <c r="E1022" s="4">
        <f t="shared" si="2"/>
        <v>1444.666667</v>
      </c>
      <c r="F1022" s="4">
        <f t="shared" si="3"/>
        <v>481.5555556</v>
      </c>
      <c r="G1022" s="4">
        <f t="shared" si="4"/>
        <v>1445</v>
      </c>
      <c r="H1022" s="4" t="str">
        <f t="shared" si="5"/>
        <v>Binh thuong</v>
      </c>
    </row>
    <row r="1023" ht="14.25" customHeight="1">
      <c r="A1023" s="4" t="s">
        <v>1040</v>
      </c>
      <c r="B1023" s="4">
        <v>1314.0</v>
      </c>
      <c r="C1023" s="4" t="s">
        <v>886</v>
      </c>
      <c r="D1023" s="4" t="str">
        <f t="shared" si="1"/>
        <v>MA3</v>
      </c>
      <c r="E1023" s="4">
        <f t="shared" si="2"/>
        <v>109.5</v>
      </c>
      <c r="F1023" s="4">
        <f t="shared" si="3"/>
        <v>36.5</v>
      </c>
      <c r="G1023" s="4">
        <f t="shared" si="4"/>
        <v>110</v>
      </c>
      <c r="H1023" s="4" t="str">
        <f t="shared" si="5"/>
        <v>Binh thuong</v>
      </c>
    </row>
    <row r="1024" ht="14.25" customHeight="1">
      <c r="A1024" s="4" t="s">
        <v>1041</v>
      </c>
      <c r="B1024" s="4">
        <v>16586.0</v>
      </c>
      <c r="C1024" s="4" t="s">
        <v>886</v>
      </c>
      <c r="D1024" s="4" t="str">
        <f t="shared" si="1"/>
        <v>MA3</v>
      </c>
      <c r="E1024" s="4">
        <f t="shared" si="2"/>
        <v>1382.166667</v>
      </c>
      <c r="F1024" s="4">
        <f t="shared" si="3"/>
        <v>460.7222222</v>
      </c>
      <c r="G1024" s="4">
        <f t="shared" si="4"/>
        <v>1382</v>
      </c>
      <c r="H1024" s="4" t="str">
        <f t="shared" si="5"/>
        <v>Binh thuong</v>
      </c>
    </row>
    <row r="1025" ht="14.25" customHeight="1">
      <c r="A1025" s="4" t="s">
        <v>1042</v>
      </c>
      <c r="B1025" s="4">
        <v>33398.0</v>
      </c>
      <c r="C1025" s="4" t="s">
        <v>886</v>
      </c>
      <c r="D1025" s="4" t="str">
        <f t="shared" si="1"/>
        <v>MA3</v>
      </c>
      <c r="E1025" s="4">
        <f t="shared" si="2"/>
        <v>2783.166667</v>
      </c>
      <c r="F1025" s="4">
        <f t="shared" si="3"/>
        <v>927.7222222</v>
      </c>
      <c r="G1025" s="4">
        <f t="shared" si="4"/>
        <v>2783</v>
      </c>
      <c r="H1025" s="4" t="str">
        <f t="shared" si="5"/>
        <v>Binh thuong</v>
      </c>
    </row>
    <row r="1026" ht="14.25" customHeight="1">
      <c r="A1026" s="4" t="s">
        <v>1043</v>
      </c>
      <c r="B1026" s="4">
        <v>1589.0</v>
      </c>
      <c r="C1026" s="4" t="s">
        <v>886</v>
      </c>
      <c r="D1026" s="4" t="str">
        <f t="shared" si="1"/>
        <v>MA3</v>
      </c>
      <c r="E1026" s="4">
        <f t="shared" si="2"/>
        <v>132.4166667</v>
      </c>
      <c r="F1026" s="4">
        <f t="shared" si="3"/>
        <v>44.13888889</v>
      </c>
      <c r="G1026" s="4">
        <f t="shared" si="4"/>
        <v>132</v>
      </c>
      <c r="H1026" s="4" t="str">
        <f t="shared" si="5"/>
        <v>Binh thuong</v>
      </c>
    </row>
    <row r="1027" ht="14.25" customHeight="1">
      <c r="A1027" s="4" t="s">
        <v>1044</v>
      </c>
      <c r="B1027" s="4">
        <v>14008.0</v>
      </c>
      <c r="C1027" s="4" t="s">
        <v>886</v>
      </c>
      <c r="D1027" s="4" t="str">
        <f t="shared" si="1"/>
        <v>MA3</v>
      </c>
      <c r="E1027" s="4">
        <f t="shared" si="2"/>
        <v>1167.333333</v>
      </c>
      <c r="F1027" s="4">
        <f t="shared" si="3"/>
        <v>389.1111111</v>
      </c>
      <c r="G1027" s="4">
        <f t="shared" si="4"/>
        <v>1167</v>
      </c>
      <c r="H1027" s="4" t="str">
        <f t="shared" si="5"/>
        <v>Binh thuong</v>
      </c>
    </row>
    <row r="1028" ht="14.25" customHeight="1">
      <c r="A1028" s="4" t="s">
        <v>1045</v>
      </c>
      <c r="B1028" s="4">
        <v>27240.0</v>
      </c>
      <c r="C1028" s="4" t="s">
        <v>886</v>
      </c>
      <c r="D1028" s="4" t="str">
        <f t="shared" si="1"/>
        <v>MA3</v>
      </c>
      <c r="E1028" s="4">
        <f t="shared" si="2"/>
        <v>2270</v>
      </c>
      <c r="F1028" s="4">
        <f t="shared" si="3"/>
        <v>756.6666667</v>
      </c>
      <c r="G1028" s="4">
        <f t="shared" si="4"/>
        <v>2270</v>
      </c>
      <c r="H1028" s="4" t="str">
        <f t="shared" si="5"/>
        <v>Binh thuong</v>
      </c>
    </row>
    <row r="1029" ht="14.25" customHeight="1">
      <c r="A1029" s="4" t="s">
        <v>1046</v>
      </c>
      <c r="B1029" s="4">
        <v>2962.0</v>
      </c>
      <c r="C1029" s="4" t="s">
        <v>886</v>
      </c>
      <c r="D1029" s="4" t="str">
        <f t="shared" si="1"/>
        <v>MA3</v>
      </c>
      <c r="E1029" s="4">
        <f t="shared" si="2"/>
        <v>246.8333333</v>
      </c>
      <c r="F1029" s="4">
        <f t="shared" si="3"/>
        <v>82.27777778</v>
      </c>
      <c r="G1029" s="4">
        <f t="shared" si="4"/>
        <v>247</v>
      </c>
      <c r="H1029" s="4" t="str">
        <f t="shared" si="5"/>
        <v>Binh thuong</v>
      </c>
    </row>
    <row r="1030" ht="14.25" customHeight="1">
      <c r="A1030" s="4" t="s">
        <v>1047</v>
      </c>
      <c r="B1030" s="4">
        <v>13792.0</v>
      </c>
      <c r="C1030" s="4" t="s">
        <v>886</v>
      </c>
      <c r="D1030" s="4" t="str">
        <f t="shared" si="1"/>
        <v>MA3</v>
      </c>
      <c r="E1030" s="4">
        <f t="shared" si="2"/>
        <v>1149.333333</v>
      </c>
      <c r="F1030" s="4">
        <f t="shared" si="3"/>
        <v>383.1111111</v>
      </c>
      <c r="G1030" s="4">
        <f t="shared" si="4"/>
        <v>1149</v>
      </c>
      <c r="H1030" s="4" t="str">
        <f t="shared" si="5"/>
        <v>Binh thuong</v>
      </c>
    </row>
    <row r="1031" ht="14.25" customHeight="1">
      <c r="A1031" s="4" t="s">
        <v>1048</v>
      </c>
      <c r="B1031" s="4">
        <v>11333.0</v>
      </c>
      <c r="C1031" s="4" t="s">
        <v>886</v>
      </c>
      <c r="D1031" s="4" t="str">
        <f t="shared" si="1"/>
        <v>MA3</v>
      </c>
      <c r="E1031" s="4">
        <f t="shared" si="2"/>
        <v>944.4166667</v>
      </c>
      <c r="F1031" s="4">
        <f t="shared" si="3"/>
        <v>314.8055556</v>
      </c>
      <c r="G1031" s="4">
        <f t="shared" si="4"/>
        <v>944</v>
      </c>
      <c r="H1031" s="4" t="str">
        <f t="shared" si="5"/>
        <v>Binh thuong</v>
      </c>
    </row>
    <row r="1032" ht="14.25" customHeight="1">
      <c r="A1032" s="4" t="s">
        <v>1049</v>
      </c>
      <c r="B1032" s="4">
        <v>9324.0</v>
      </c>
      <c r="C1032" s="4" t="s">
        <v>886</v>
      </c>
      <c r="D1032" s="4" t="str">
        <f t="shared" si="1"/>
        <v>MA3</v>
      </c>
      <c r="E1032" s="4">
        <f t="shared" si="2"/>
        <v>777</v>
      </c>
      <c r="F1032" s="4">
        <f t="shared" si="3"/>
        <v>259</v>
      </c>
      <c r="G1032" s="4">
        <f t="shared" si="4"/>
        <v>777</v>
      </c>
      <c r="H1032" s="4" t="str">
        <f t="shared" si="5"/>
        <v>Binh thuong</v>
      </c>
    </row>
    <row r="1033" ht="14.25" customHeight="1">
      <c r="A1033" s="4" t="s">
        <v>1050</v>
      </c>
      <c r="B1033" s="4">
        <v>10627.0</v>
      </c>
      <c r="C1033" s="4" t="s">
        <v>886</v>
      </c>
      <c r="D1033" s="4" t="str">
        <f t="shared" si="1"/>
        <v>MA3</v>
      </c>
      <c r="E1033" s="4">
        <f t="shared" si="2"/>
        <v>885.5833333</v>
      </c>
      <c r="F1033" s="4">
        <f t="shared" si="3"/>
        <v>295.1944444</v>
      </c>
      <c r="G1033" s="4">
        <f t="shared" si="4"/>
        <v>886</v>
      </c>
      <c r="H1033" s="4" t="str">
        <f t="shared" si="5"/>
        <v>Binh thuong</v>
      </c>
    </row>
    <row r="1034" ht="14.25" customHeight="1">
      <c r="A1034" s="4" t="s">
        <v>1051</v>
      </c>
      <c r="B1034" s="4">
        <v>5930.0</v>
      </c>
      <c r="C1034" s="4" t="s">
        <v>886</v>
      </c>
      <c r="D1034" s="4" t="str">
        <f t="shared" si="1"/>
        <v>MA3</v>
      </c>
      <c r="E1034" s="4">
        <f t="shared" si="2"/>
        <v>494.1666667</v>
      </c>
      <c r="F1034" s="4">
        <f t="shared" si="3"/>
        <v>164.7222222</v>
      </c>
      <c r="G1034" s="4">
        <f t="shared" si="4"/>
        <v>494</v>
      </c>
      <c r="H1034" s="4" t="str">
        <f t="shared" si="5"/>
        <v>Binh thuong</v>
      </c>
    </row>
    <row r="1035" ht="14.25" customHeight="1">
      <c r="A1035" s="4" t="s">
        <v>1052</v>
      </c>
      <c r="B1035" s="4">
        <v>15089.0</v>
      </c>
      <c r="C1035" s="4" t="s">
        <v>886</v>
      </c>
      <c r="D1035" s="4" t="str">
        <f t="shared" si="1"/>
        <v>MA3</v>
      </c>
      <c r="E1035" s="4">
        <f t="shared" si="2"/>
        <v>1257.416667</v>
      </c>
      <c r="F1035" s="4">
        <f t="shared" si="3"/>
        <v>419.1388889</v>
      </c>
      <c r="G1035" s="4">
        <f t="shared" si="4"/>
        <v>1257</v>
      </c>
      <c r="H1035" s="4" t="str">
        <f t="shared" si="5"/>
        <v>Binh thuong</v>
      </c>
    </row>
    <row r="1036" ht="14.25" customHeight="1">
      <c r="A1036" s="4" t="s">
        <v>1053</v>
      </c>
      <c r="B1036" s="4">
        <v>28818.0</v>
      </c>
      <c r="C1036" s="4" t="s">
        <v>886</v>
      </c>
      <c r="D1036" s="4" t="str">
        <f t="shared" si="1"/>
        <v>MA3</v>
      </c>
      <c r="E1036" s="4">
        <f t="shared" si="2"/>
        <v>2401.5</v>
      </c>
      <c r="F1036" s="4">
        <f t="shared" si="3"/>
        <v>800.5</v>
      </c>
      <c r="G1036" s="4">
        <f t="shared" si="4"/>
        <v>2402</v>
      </c>
      <c r="H1036" s="4" t="str">
        <f t="shared" si="5"/>
        <v>Binh thuong</v>
      </c>
    </row>
    <row r="1037" ht="14.25" customHeight="1">
      <c r="A1037" s="4" t="s">
        <v>1054</v>
      </c>
      <c r="B1037" s="4">
        <v>27082.0</v>
      </c>
      <c r="C1037" s="4" t="s">
        <v>886</v>
      </c>
      <c r="D1037" s="4" t="str">
        <f t="shared" si="1"/>
        <v>MA3</v>
      </c>
      <c r="E1037" s="4">
        <f t="shared" si="2"/>
        <v>2256.833333</v>
      </c>
      <c r="F1037" s="4">
        <f t="shared" si="3"/>
        <v>752.2777778</v>
      </c>
      <c r="G1037" s="4">
        <f t="shared" si="4"/>
        <v>2257</v>
      </c>
      <c r="H1037" s="4" t="str">
        <f t="shared" si="5"/>
        <v>Binh thuong</v>
      </c>
    </row>
    <row r="1038" ht="14.25" customHeight="1">
      <c r="A1038" s="4" t="s">
        <v>1055</v>
      </c>
      <c r="B1038" s="4">
        <v>20115.0</v>
      </c>
      <c r="C1038" s="4" t="s">
        <v>886</v>
      </c>
      <c r="D1038" s="4" t="str">
        <f t="shared" si="1"/>
        <v>MA3</v>
      </c>
      <c r="E1038" s="4">
        <f t="shared" si="2"/>
        <v>1676.25</v>
      </c>
      <c r="F1038" s="4">
        <f t="shared" si="3"/>
        <v>558.75</v>
      </c>
      <c r="G1038" s="4">
        <f t="shared" si="4"/>
        <v>1676</v>
      </c>
      <c r="H1038" s="4" t="str">
        <f t="shared" si="5"/>
        <v>Binh thuong</v>
      </c>
    </row>
    <row r="1039" ht="14.25" customHeight="1">
      <c r="A1039" s="4" t="s">
        <v>1056</v>
      </c>
      <c r="B1039" s="4">
        <v>12904.0</v>
      </c>
      <c r="C1039" s="4" t="s">
        <v>886</v>
      </c>
      <c r="D1039" s="4" t="str">
        <f t="shared" si="1"/>
        <v>MA3</v>
      </c>
      <c r="E1039" s="4">
        <f t="shared" si="2"/>
        <v>1075.333333</v>
      </c>
      <c r="F1039" s="4">
        <f t="shared" si="3"/>
        <v>358.4444444</v>
      </c>
      <c r="G1039" s="4">
        <f t="shared" si="4"/>
        <v>1075</v>
      </c>
      <c r="H1039" s="4" t="str">
        <f t="shared" si="5"/>
        <v>Binh thuong</v>
      </c>
    </row>
    <row r="1040" ht="14.25" customHeight="1">
      <c r="A1040" s="4" t="s">
        <v>1057</v>
      </c>
      <c r="B1040" s="4">
        <v>8604.0</v>
      </c>
      <c r="C1040" s="4" t="s">
        <v>886</v>
      </c>
      <c r="D1040" s="4" t="str">
        <f t="shared" si="1"/>
        <v>MA3</v>
      </c>
      <c r="E1040" s="4">
        <f t="shared" si="2"/>
        <v>717</v>
      </c>
      <c r="F1040" s="4">
        <f t="shared" si="3"/>
        <v>239</v>
      </c>
      <c r="G1040" s="4">
        <f t="shared" si="4"/>
        <v>717</v>
      </c>
      <c r="H1040" s="4" t="str">
        <f t="shared" si="5"/>
        <v>Binh thuong</v>
      </c>
    </row>
    <row r="1041" ht="14.25" customHeight="1">
      <c r="A1041" s="4" t="s">
        <v>1058</v>
      </c>
      <c r="B1041" s="4">
        <v>10703.0</v>
      </c>
      <c r="C1041" s="4" t="s">
        <v>886</v>
      </c>
      <c r="D1041" s="4" t="str">
        <f t="shared" si="1"/>
        <v>MA3</v>
      </c>
      <c r="E1041" s="4">
        <f t="shared" si="2"/>
        <v>891.9166667</v>
      </c>
      <c r="F1041" s="4">
        <f t="shared" si="3"/>
        <v>297.3055556</v>
      </c>
      <c r="G1041" s="4">
        <f t="shared" si="4"/>
        <v>892</v>
      </c>
      <c r="H1041" s="4" t="str">
        <f t="shared" si="5"/>
        <v>Binh thuong</v>
      </c>
    </row>
    <row r="1042" ht="14.25" customHeight="1">
      <c r="A1042" s="4" t="s">
        <v>1059</v>
      </c>
      <c r="B1042" s="4">
        <v>30308.0</v>
      </c>
      <c r="C1042" s="4" t="s">
        <v>886</v>
      </c>
      <c r="D1042" s="4" t="str">
        <f t="shared" si="1"/>
        <v>MA3</v>
      </c>
      <c r="E1042" s="4">
        <f t="shared" si="2"/>
        <v>2525.666667</v>
      </c>
      <c r="F1042" s="4">
        <f t="shared" si="3"/>
        <v>841.8888889</v>
      </c>
      <c r="G1042" s="4">
        <f t="shared" si="4"/>
        <v>2526</v>
      </c>
      <c r="H1042" s="4" t="str">
        <f t="shared" si="5"/>
        <v>Binh thuong</v>
      </c>
    </row>
    <row r="1043" ht="14.25" customHeight="1">
      <c r="A1043" s="4" t="s">
        <v>1060</v>
      </c>
      <c r="B1043" s="4">
        <v>62776.0</v>
      </c>
      <c r="C1043" s="4" t="s">
        <v>886</v>
      </c>
      <c r="D1043" s="4" t="str">
        <f t="shared" si="1"/>
        <v>MA3</v>
      </c>
      <c r="E1043" s="4">
        <f t="shared" si="2"/>
        <v>5231.333333</v>
      </c>
      <c r="F1043" s="4">
        <f t="shared" si="3"/>
        <v>1743.777778</v>
      </c>
      <c r="G1043" s="4">
        <f t="shared" si="4"/>
        <v>5231</v>
      </c>
      <c r="H1043" s="4" t="str">
        <f t="shared" si="5"/>
        <v>Uu tien cao</v>
      </c>
    </row>
    <row r="1044" ht="14.25" customHeight="1">
      <c r="A1044" s="4" t="s">
        <v>1061</v>
      </c>
      <c r="B1044" s="4">
        <v>47428.0</v>
      </c>
      <c r="C1044" s="4" t="s">
        <v>886</v>
      </c>
      <c r="D1044" s="4" t="str">
        <f t="shared" si="1"/>
        <v>MA3</v>
      </c>
      <c r="E1044" s="4">
        <f t="shared" si="2"/>
        <v>3952.333333</v>
      </c>
      <c r="F1044" s="4">
        <f t="shared" si="3"/>
        <v>1317.444444</v>
      </c>
      <c r="G1044" s="4">
        <f t="shared" si="4"/>
        <v>3952</v>
      </c>
      <c r="H1044" s="4" t="str">
        <f t="shared" si="5"/>
        <v>Uu tien cao</v>
      </c>
    </row>
    <row r="1045" ht="14.25" customHeight="1">
      <c r="A1045" s="4" t="s">
        <v>1062</v>
      </c>
      <c r="B1045" s="4">
        <v>100426.0</v>
      </c>
      <c r="C1045" s="4" t="s">
        <v>886</v>
      </c>
      <c r="D1045" s="4" t="str">
        <f t="shared" si="1"/>
        <v>MA3</v>
      </c>
      <c r="E1045" s="4">
        <f t="shared" si="2"/>
        <v>8368.833333</v>
      </c>
      <c r="F1045" s="4">
        <f t="shared" si="3"/>
        <v>2789.611111</v>
      </c>
      <c r="G1045" s="4">
        <f t="shared" si="4"/>
        <v>8369</v>
      </c>
      <c r="H1045" s="4" t="str">
        <f t="shared" si="5"/>
        <v>Uu tien cao</v>
      </c>
    </row>
    <row r="1046" ht="14.25" customHeight="1">
      <c r="A1046" s="4" t="s">
        <v>1063</v>
      </c>
      <c r="B1046" s="4">
        <v>64167.0</v>
      </c>
      <c r="C1046" s="4" t="s">
        <v>886</v>
      </c>
      <c r="D1046" s="4" t="str">
        <f t="shared" si="1"/>
        <v>MA3</v>
      </c>
      <c r="E1046" s="4">
        <f t="shared" si="2"/>
        <v>5347.25</v>
      </c>
      <c r="F1046" s="4">
        <f t="shared" si="3"/>
        <v>1782.416667</v>
      </c>
      <c r="G1046" s="4">
        <f t="shared" si="4"/>
        <v>5347</v>
      </c>
      <c r="H1046" s="4" t="str">
        <f t="shared" si="5"/>
        <v>Uu tien cao</v>
      </c>
    </row>
    <row r="1047" ht="14.25" customHeight="1">
      <c r="A1047" s="4" t="s">
        <v>1064</v>
      </c>
      <c r="B1047" s="4">
        <v>99452.0</v>
      </c>
      <c r="C1047" s="4" t="s">
        <v>886</v>
      </c>
      <c r="D1047" s="4" t="str">
        <f t="shared" si="1"/>
        <v>MA3</v>
      </c>
      <c r="E1047" s="4">
        <f t="shared" si="2"/>
        <v>8287.666667</v>
      </c>
      <c r="F1047" s="4">
        <f t="shared" si="3"/>
        <v>2762.555556</v>
      </c>
      <c r="G1047" s="4">
        <f t="shared" si="4"/>
        <v>8288</v>
      </c>
      <c r="H1047" s="4" t="str">
        <f t="shared" si="5"/>
        <v>Uu tien cao</v>
      </c>
    </row>
    <row r="1048" ht="14.25" customHeight="1">
      <c r="A1048" s="4" t="s">
        <v>1065</v>
      </c>
      <c r="B1048" s="4">
        <v>46487.0</v>
      </c>
      <c r="C1048" s="4" t="s">
        <v>886</v>
      </c>
      <c r="D1048" s="4" t="str">
        <f t="shared" si="1"/>
        <v>MA3</v>
      </c>
      <c r="E1048" s="4">
        <f t="shared" si="2"/>
        <v>3873.916667</v>
      </c>
      <c r="F1048" s="4">
        <f t="shared" si="3"/>
        <v>1291.305556</v>
      </c>
      <c r="G1048" s="4">
        <f t="shared" si="4"/>
        <v>3874</v>
      </c>
      <c r="H1048" s="4" t="str">
        <f t="shared" si="5"/>
        <v>Uu tien cao</v>
      </c>
    </row>
    <row r="1049" ht="14.25" customHeight="1">
      <c r="A1049" s="4" t="s">
        <v>1066</v>
      </c>
      <c r="B1049" s="4">
        <v>97861.0</v>
      </c>
      <c r="C1049" s="4" t="s">
        <v>886</v>
      </c>
      <c r="D1049" s="4" t="str">
        <f t="shared" si="1"/>
        <v>MA3</v>
      </c>
      <c r="E1049" s="4">
        <f t="shared" si="2"/>
        <v>8155.083333</v>
      </c>
      <c r="F1049" s="4">
        <f t="shared" si="3"/>
        <v>2718.361111</v>
      </c>
      <c r="G1049" s="4">
        <f t="shared" si="4"/>
        <v>8155</v>
      </c>
      <c r="H1049" s="4" t="str">
        <f t="shared" si="5"/>
        <v>Uu tien cao</v>
      </c>
    </row>
    <row r="1050" ht="14.25" customHeight="1">
      <c r="A1050" s="4" t="s">
        <v>1067</v>
      </c>
      <c r="B1050" s="4">
        <v>60505.0</v>
      </c>
      <c r="C1050" s="4" t="s">
        <v>886</v>
      </c>
      <c r="D1050" s="4" t="str">
        <f t="shared" si="1"/>
        <v>MA3</v>
      </c>
      <c r="E1050" s="4">
        <f t="shared" si="2"/>
        <v>5042.083333</v>
      </c>
      <c r="F1050" s="4">
        <f t="shared" si="3"/>
        <v>1680.694444</v>
      </c>
      <c r="G1050" s="4">
        <f t="shared" si="4"/>
        <v>5042</v>
      </c>
      <c r="H1050" s="4" t="str">
        <f t="shared" si="5"/>
        <v>Uu tien cao</v>
      </c>
    </row>
    <row r="1051" ht="14.25" customHeight="1">
      <c r="A1051" s="4" t="s">
        <v>1068</v>
      </c>
      <c r="B1051" s="4">
        <v>30556.0</v>
      </c>
      <c r="C1051" s="4" t="s">
        <v>886</v>
      </c>
      <c r="D1051" s="4" t="str">
        <f t="shared" si="1"/>
        <v>MA3</v>
      </c>
      <c r="E1051" s="4">
        <f t="shared" si="2"/>
        <v>2546.333333</v>
      </c>
      <c r="F1051" s="4">
        <f t="shared" si="3"/>
        <v>848.7777778</v>
      </c>
      <c r="G1051" s="4">
        <f t="shared" si="4"/>
        <v>2546</v>
      </c>
      <c r="H1051" s="4" t="str">
        <f t="shared" si="5"/>
        <v>Binh thuong</v>
      </c>
    </row>
    <row r="1052" ht="14.25" customHeight="1">
      <c r="A1052" s="4" t="s">
        <v>1069</v>
      </c>
      <c r="B1052" s="4">
        <v>68122.0</v>
      </c>
      <c r="C1052" s="4" t="s">
        <v>886</v>
      </c>
      <c r="D1052" s="4" t="str">
        <f t="shared" si="1"/>
        <v>MA3</v>
      </c>
      <c r="E1052" s="4">
        <f t="shared" si="2"/>
        <v>5676.833333</v>
      </c>
      <c r="F1052" s="4">
        <f t="shared" si="3"/>
        <v>1892.277778</v>
      </c>
      <c r="G1052" s="4">
        <f t="shared" si="4"/>
        <v>5677</v>
      </c>
      <c r="H1052" s="4" t="str">
        <f t="shared" si="5"/>
        <v>Uu tien cao</v>
      </c>
    </row>
    <row r="1053" ht="14.25" customHeight="1">
      <c r="A1053" s="4" t="s">
        <v>1070</v>
      </c>
      <c r="B1053" s="4">
        <v>30865.0</v>
      </c>
      <c r="C1053" s="4" t="s">
        <v>886</v>
      </c>
      <c r="D1053" s="4" t="str">
        <f t="shared" si="1"/>
        <v>MA3</v>
      </c>
      <c r="E1053" s="4">
        <f t="shared" si="2"/>
        <v>2572.083333</v>
      </c>
      <c r="F1053" s="4">
        <f t="shared" si="3"/>
        <v>857.3611111</v>
      </c>
      <c r="G1053" s="4">
        <f t="shared" si="4"/>
        <v>2572</v>
      </c>
      <c r="H1053" s="4" t="str">
        <f t="shared" si="5"/>
        <v>Binh thuong</v>
      </c>
    </row>
    <row r="1054" ht="14.25" customHeight="1">
      <c r="A1054" s="4" t="s">
        <v>1071</v>
      </c>
      <c r="B1054" s="4">
        <v>45400.0</v>
      </c>
      <c r="C1054" s="4" t="s">
        <v>886</v>
      </c>
      <c r="D1054" s="4" t="str">
        <f t="shared" si="1"/>
        <v>MA3</v>
      </c>
      <c r="E1054" s="4">
        <f t="shared" si="2"/>
        <v>3783.333333</v>
      </c>
      <c r="F1054" s="4">
        <f t="shared" si="3"/>
        <v>1261.111111</v>
      </c>
      <c r="G1054" s="4">
        <f t="shared" si="4"/>
        <v>3783</v>
      </c>
      <c r="H1054" s="4" t="str">
        <f t="shared" si="5"/>
        <v>Uu tien cao</v>
      </c>
    </row>
    <row r="1055" ht="14.25" customHeight="1">
      <c r="A1055" s="4" t="s">
        <v>1072</v>
      </c>
      <c r="B1055" s="4">
        <v>64435.0</v>
      </c>
      <c r="C1055" s="4" t="s">
        <v>886</v>
      </c>
      <c r="D1055" s="4" t="str">
        <f t="shared" si="1"/>
        <v>MA3</v>
      </c>
      <c r="E1055" s="4">
        <f t="shared" si="2"/>
        <v>5369.583333</v>
      </c>
      <c r="F1055" s="4">
        <f t="shared" si="3"/>
        <v>1789.861111</v>
      </c>
      <c r="G1055" s="4">
        <f t="shared" si="4"/>
        <v>5370</v>
      </c>
      <c r="H1055" s="4" t="str">
        <f t="shared" si="5"/>
        <v>Uu tien cao</v>
      </c>
    </row>
    <row r="1056" ht="14.25" customHeight="1">
      <c r="A1056" s="4" t="s">
        <v>1073</v>
      </c>
      <c r="B1056" s="4">
        <v>38990.0</v>
      </c>
      <c r="C1056" s="4" t="s">
        <v>886</v>
      </c>
      <c r="D1056" s="4" t="str">
        <f t="shared" si="1"/>
        <v>MA3</v>
      </c>
      <c r="E1056" s="4">
        <f t="shared" si="2"/>
        <v>3249.166667</v>
      </c>
      <c r="F1056" s="4">
        <f t="shared" si="3"/>
        <v>1083.055556</v>
      </c>
      <c r="G1056" s="4">
        <f t="shared" si="4"/>
        <v>3249</v>
      </c>
      <c r="H1056" s="4" t="str">
        <f t="shared" si="5"/>
        <v>Binh thuong</v>
      </c>
    </row>
    <row r="1057" ht="14.25" customHeight="1">
      <c r="A1057" s="4" t="s">
        <v>1074</v>
      </c>
      <c r="B1057" s="4">
        <v>6702.0</v>
      </c>
      <c r="C1057" s="4" t="s">
        <v>886</v>
      </c>
      <c r="D1057" s="4" t="str">
        <f t="shared" si="1"/>
        <v>MA3</v>
      </c>
      <c r="E1057" s="4">
        <f t="shared" si="2"/>
        <v>558.5</v>
      </c>
      <c r="F1057" s="4">
        <f t="shared" si="3"/>
        <v>186.1666667</v>
      </c>
      <c r="G1057" s="4">
        <f t="shared" si="4"/>
        <v>559</v>
      </c>
      <c r="H1057" s="4" t="str">
        <f t="shared" si="5"/>
        <v>Binh thuong</v>
      </c>
    </row>
    <row r="1058" ht="14.25" customHeight="1">
      <c r="A1058" s="4" t="s">
        <v>1075</v>
      </c>
      <c r="B1058" s="4">
        <v>15407.0</v>
      </c>
      <c r="C1058" s="4" t="s">
        <v>886</v>
      </c>
      <c r="D1058" s="4" t="str">
        <f t="shared" si="1"/>
        <v>MA3</v>
      </c>
      <c r="E1058" s="4">
        <f t="shared" si="2"/>
        <v>1283.916667</v>
      </c>
      <c r="F1058" s="4">
        <f t="shared" si="3"/>
        <v>427.9722222</v>
      </c>
      <c r="G1058" s="4">
        <f t="shared" si="4"/>
        <v>1284</v>
      </c>
      <c r="H1058" s="4" t="str">
        <f t="shared" si="5"/>
        <v>Binh thuong</v>
      </c>
    </row>
    <row r="1059" ht="14.25" customHeight="1">
      <c r="A1059" s="4" t="s">
        <v>1076</v>
      </c>
      <c r="B1059" s="4">
        <v>11441.0</v>
      </c>
      <c r="C1059" s="4" t="s">
        <v>886</v>
      </c>
      <c r="D1059" s="4" t="str">
        <f t="shared" si="1"/>
        <v>MA3</v>
      </c>
      <c r="E1059" s="4">
        <f t="shared" si="2"/>
        <v>953.4166667</v>
      </c>
      <c r="F1059" s="4">
        <f t="shared" si="3"/>
        <v>317.8055556</v>
      </c>
      <c r="G1059" s="4">
        <f t="shared" si="4"/>
        <v>953</v>
      </c>
      <c r="H1059" s="4" t="str">
        <f t="shared" si="5"/>
        <v>Binh thuong</v>
      </c>
    </row>
    <row r="1060" ht="14.25" customHeight="1">
      <c r="A1060" s="4" t="s">
        <v>1077</v>
      </c>
      <c r="B1060" s="4">
        <v>11160.0</v>
      </c>
      <c r="C1060" s="4" t="s">
        <v>886</v>
      </c>
      <c r="D1060" s="4" t="str">
        <f t="shared" si="1"/>
        <v>MA3</v>
      </c>
      <c r="E1060" s="4">
        <f t="shared" si="2"/>
        <v>930</v>
      </c>
      <c r="F1060" s="4">
        <f t="shared" si="3"/>
        <v>310</v>
      </c>
      <c r="G1060" s="4">
        <f t="shared" si="4"/>
        <v>930</v>
      </c>
      <c r="H1060" s="4" t="str">
        <f t="shared" si="5"/>
        <v>Binh thuong</v>
      </c>
    </row>
    <row r="1061" ht="14.25" customHeight="1">
      <c r="A1061" s="4" t="s">
        <v>1078</v>
      </c>
      <c r="B1061" s="4">
        <v>17211.0</v>
      </c>
      <c r="C1061" s="4" t="s">
        <v>886</v>
      </c>
      <c r="D1061" s="4" t="str">
        <f t="shared" si="1"/>
        <v>MA3</v>
      </c>
      <c r="E1061" s="4">
        <f t="shared" si="2"/>
        <v>1434.25</v>
      </c>
      <c r="F1061" s="4">
        <f t="shared" si="3"/>
        <v>478.0833333</v>
      </c>
      <c r="G1061" s="4">
        <f t="shared" si="4"/>
        <v>1434</v>
      </c>
      <c r="H1061" s="4" t="str">
        <f t="shared" si="5"/>
        <v>Binh thuong</v>
      </c>
    </row>
    <row r="1062" ht="14.25" customHeight="1">
      <c r="A1062" s="4" t="s">
        <v>1079</v>
      </c>
      <c r="B1062" s="4">
        <v>11700.0</v>
      </c>
      <c r="C1062" s="4" t="s">
        <v>886</v>
      </c>
      <c r="D1062" s="4" t="str">
        <f t="shared" si="1"/>
        <v>MA3</v>
      </c>
      <c r="E1062" s="4">
        <f t="shared" si="2"/>
        <v>975</v>
      </c>
      <c r="F1062" s="4">
        <f t="shared" si="3"/>
        <v>325</v>
      </c>
      <c r="G1062" s="4">
        <f t="shared" si="4"/>
        <v>975</v>
      </c>
      <c r="H1062" s="4" t="str">
        <f t="shared" si="5"/>
        <v>Binh thuong</v>
      </c>
    </row>
    <row r="1063" ht="14.25" customHeight="1">
      <c r="A1063" s="4" t="s">
        <v>1080</v>
      </c>
      <c r="B1063" s="4">
        <v>14857.0</v>
      </c>
      <c r="C1063" s="4" t="s">
        <v>886</v>
      </c>
      <c r="D1063" s="4" t="str">
        <f t="shared" si="1"/>
        <v>MA3</v>
      </c>
      <c r="E1063" s="4">
        <f t="shared" si="2"/>
        <v>1238.083333</v>
      </c>
      <c r="F1063" s="4">
        <f t="shared" si="3"/>
        <v>412.6944444</v>
      </c>
      <c r="G1063" s="4">
        <f t="shared" si="4"/>
        <v>1238</v>
      </c>
      <c r="H1063" s="4" t="str">
        <f t="shared" si="5"/>
        <v>Binh thuong</v>
      </c>
    </row>
    <row r="1064" ht="14.25" customHeight="1">
      <c r="A1064" s="4" t="s">
        <v>1081</v>
      </c>
      <c r="B1064" s="4">
        <v>52189.0</v>
      </c>
      <c r="C1064" s="4" t="s">
        <v>886</v>
      </c>
      <c r="D1064" s="4" t="str">
        <f t="shared" si="1"/>
        <v>MA3</v>
      </c>
      <c r="E1064" s="4">
        <f t="shared" si="2"/>
        <v>4349.083333</v>
      </c>
      <c r="F1064" s="4">
        <f t="shared" si="3"/>
        <v>1449.694444</v>
      </c>
      <c r="G1064" s="4">
        <f t="shared" si="4"/>
        <v>4349</v>
      </c>
      <c r="H1064" s="4" t="str">
        <f t="shared" si="5"/>
        <v>Uu tien cao</v>
      </c>
    </row>
    <row r="1065" ht="14.25" customHeight="1">
      <c r="A1065" s="4" t="s">
        <v>1082</v>
      </c>
      <c r="B1065" s="4">
        <v>8924.0</v>
      </c>
      <c r="C1065" s="4" t="s">
        <v>886</v>
      </c>
      <c r="D1065" s="4" t="str">
        <f t="shared" si="1"/>
        <v>MA3</v>
      </c>
      <c r="E1065" s="4">
        <f t="shared" si="2"/>
        <v>743.6666667</v>
      </c>
      <c r="F1065" s="4">
        <f t="shared" si="3"/>
        <v>247.8888889</v>
      </c>
      <c r="G1065" s="4">
        <f t="shared" si="4"/>
        <v>744</v>
      </c>
      <c r="H1065" s="4" t="str">
        <f t="shared" si="5"/>
        <v>Binh thuong</v>
      </c>
    </row>
    <row r="1066" ht="14.25" customHeight="1">
      <c r="A1066" s="4" t="s">
        <v>1083</v>
      </c>
      <c r="B1066" s="4">
        <v>32994.0</v>
      </c>
      <c r="C1066" s="4" t="s">
        <v>886</v>
      </c>
      <c r="D1066" s="4" t="str">
        <f t="shared" si="1"/>
        <v>MA3</v>
      </c>
      <c r="E1066" s="4">
        <f t="shared" si="2"/>
        <v>2749.5</v>
      </c>
      <c r="F1066" s="4">
        <f t="shared" si="3"/>
        <v>916.5</v>
      </c>
      <c r="G1066" s="4">
        <f t="shared" si="4"/>
        <v>2750</v>
      </c>
      <c r="H1066" s="4" t="str">
        <f t="shared" si="5"/>
        <v>Binh thuong</v>
      </c>
    </row>
    <row r="1067" ht="14.25" customHeight="1">
      <c r="A1067" s="4" t="s">
        <v>1084</v>
      </c>
      <c r="B1067" s="4">
        <v>35122.0</v>
      </c>
      <c r="C1067" s="4" t="s">
        <v>886</v>
      </c>
      <c r="D1067" s="4" t="str">
        <f t="shared" si="1"/>
        <v>MA3</v>
      </c>
      <c r="E1067" s="4">
        <f t="shared" si="2"/>
        <v>2926.833333</v>
      </c>
      <c r="F1067" s="4">
        <f t="shared" si="3"/>
        <v>975.6111111</v>
      </c>
      <c r="G1067" s="4">
        <f t="shared" si="4"/>
        <v>2927</v>
      </c>
      <c r="H1067" s="4" t="str">
        <f t="shared" si="5"/>
        <v>Binh thuong</v>
      </c>
    </row>
    <row r="1068" ht="14.25" customHeight="1">
      <c r="A1068" s="4" t="s">
        <v>1085</v>
      </c>
      <c r="B1068" s="4">
        <v>36141.0</v>
      </c>
      <c r="C1068" s="4" t="s">
        <v>886</v>
      </c>
      <c r="D1068" s="4" t="str">
        <f t="shared" si="1"/>
        <v>MA3</v>
      </c>
      <c r="E1068" s="4">
        <f t="shared" si="2"/>
        <v>3011.75</v>
      </c>
      <c r="F1068" s="4">
        <f t="shared" si="3"/>
        <v>1003.916667</v>
      </c>
      <c r="G1068" s="4">
        <f t="shared" si="4"/>
        <v>3012</v>
      </c>
      <c r="H1068" s="4" t="str">
        <f t="shared" si="5"/>
        <v>Binh thuong</v>
      </c>
    </row>
    <row r="1069" ht="14.25" customHeight="1">
      <c r="A1069" s="4" t="s">
        <v>1086</v>
      </c>
      <c r="B1069" s="4">
        <v>63521.0</v>
      </c>
      <c r="C1069" s="4" t="s">
        <v>886</v>
      </c>
      <c r="D1069" s="4" t="str">
        <f t="shared" si="1"/>
        <v>MA3</v>
      </c>
      <c r="E1069" s="4">
        <f t="shared" si="2"/>
        <v>5293.416667</v>
      </c>
      <c r="F1069" s="4">
        <f t="shared" si="3"/>
        <v>1764.472222</v>
      </c>
      <c r="G1069" s="4">
        <f t="shared" si="4"/>
        <v>5293</v>
      </c>
      <c r="H1069" s="4" t="str">
        <f t="shared" si="5"/>
        <v>Uu tien cao</v>
      </c>
    </row>
    <row r="1070" ht="14.25" customHeight="1">
      <c r="A1070" s="4" t="s">
        <v>1087</v>
      </c>
      <c r="B1070" s="4">
        <v>46421.0</v>
      </c>
      <c r="C1070" s="4" t="s">
        <v>886</v>
      </c>
      <c r="D1070" s="4" t="str">
        <f t="shared" si="1"/>
        <v>MA3</v>
      </c>
      <c r="E1070" s="4">
        <f t="shared" si="2"/>
        <v>3868.416667</v>
      </c>
      <c r="F1070" s="4">
        <f t="shared" si="3"/>
        <v>1289.472222</v>
      </c>
      <c r="G1070" s="4">
        <f t="shared" si="4"/>
        <v>3868</v>
      </c>
      <c r="H1070" s="4" t="str">
        <f t="shared" si="5"/>
        <v>Uu tien cao</v>
      </c>
    </row>
    <row r="1071" ht="14.25" customHeight="1">
      <c r="A1071" s="4" t="s">
        <v>1088</v>
      </c>
      <c r="B1071" s="4">
        <v>17732.0</v>
      </c>
      <c r="C1071" s="4" t="s">
        <v>886</v>
      </c>
      <c r="D1071" s="4" t="str">
        <f t="shared" si="1"/>
        <v>MA3</v>
      </c>
      <c r="E1071" s="4">
        <f t="shared" si="2"/>
        <v>1477.666667</v>
      </c>
      <c r="F1071" s="4">
        <f t="shared" si="3"/>
        <v>492.5555556</v>
      </c>
      <c r="G1071" s="4">
        <f t="shared" si="4"/>
        <v>1478</v>
      </c>
      <c r="H1071" s="4" t="str">
        <f t="shared" si="5"/>
        <v>Binh thuong</v>
      </c>
    </row>
    <row r="1072" ht="14.25" customHeight="1">
      <c r="A1072" s="4" t="s">
        <v>1089</v>
      </c>
      <c r="B1072" s="4">
        <v>48620.0</v>
      </c>
      <c r="C1072" s="4" t="s">
        <v>886</v>
      </c>
      <c r="D1072" s="4" t="str">
        <f t="shared" si="1"/>
        <v>MA3</v>
      </c>
      <c r="E1072" s="4">
        <f t="shared" si="2"/>
        <v>4051.666667</v>
      </c>
      <c r="F1072" s="4">
        <f t="shared" si="3"/>
        <v>1350.555556</v>
      </c>
      <c r="G1072" s="4">
        <f t="shared" si="4"/>
        <v>4052</v>
      </c>
      <c r="H1072" s="4" t="str">
        <f t="shared" si="5"/>
        <v>Uu tien cao</v>
      </c>
    </row>
    <row r="1073" ht="14.25" customHeight="1">
      <c r="A1073" s="4" t="s">
        <v>1090</v>
      </c>
      <c r="B1073" s="4">
        <v>24994.0</v>
      </c>
      <c r="C1073" s="4" t="s">
        <v>886</v>
      </c>
      <c r="D1073" s="4" t="str">
        <f t="shared" si="1"/>
        <v>MA3</v>
      </c>
      <c r="E1073" s="4">
        <f t="shared" si="2"/>
        <v>2082.833333</v>
      </c>
      <c r="F1073" s="4">
        <f t="shared" si="3"/>
        <v>694.2777778</v>
      </c>
      <c r="G1073" s="4">
        <f t="shared" si="4"/>
        <v>2083</v>
      </c>
      <c r="H1073" s="4" t="str">
        <f t="shared" si="5"/>
        <v>Binh thuong</v>
      </c>
    </row>
    <row r="1074" ht="14.25" customHeight="1">
      <c r="A1074" s="4" t="s">
        <v>1091</v>
      </c>
      <c r="B1074" s="4">
        <v>22572.0</v>
      </c>
      <c r="C1074" s="4" t="s">
        <v>886</v>
      </c>
      <c r="D1074" s="4" t="str">
        <f t="shared" si="1"/>
        <v>MA3</v>
      </c>
      <c r="E1074" s="4">
        <f t="shared" si="2"/>
        <v>1881</v>
      </c>
      <c r="F1074" s="4">
        <f t="shared" si="3"/>
        <v>627</v>
      </c>
      <c r="G1074" s="4">
        <f t="shared" si="4"/>
        <v>1881</v>
      </c>
      <c r="H1074" s="4" t="str">
        <f t="shared" si="5"/>
        <v>Binh thuong</v>
      </c>
    </row>
    <row r="1075" ht="14.25" customHeight="1">
      <c r="A1075" s="4" t="s">
        <v>1092</v>
      </c>
      <c r="B1075" s="4">
        <v>38923.0</v>
      </c>
      <c r="C1075" s="4" t="s">
        <v>886</v>
      </c>
      <c r="D1075" s="4" t="str">
        <f t="shared" si="1"/>
        <v>MA3</v>
      </c>
      <c r="E1075" s="4">
        <f t="shared" si="2"/>
        <v>3243.583333</v>
      </c>
      <c r="F1075" s="4">
        <f t="shared" si="3"/>
        <v>1081.194444</v>
      </c>
      <c r="G1075" s="4">
        <f t="shared" si="4"/>
        <v>3244</v>
      </c>
      <c r="H1075" s="4" t="str">
        <f t="shared" si="5"/>
        <v>Binh thuong</v>
      </c>
    </row>
    <row r="1076" ht="14.25" customHeight="1">
      <c r="A1076" s="4" t="s">
        <v>1093</v>
      </c>
      <c r="B1076" s="4">
        <v>50885.0</v>
      </c>
      <c r="C1076" s="4" t="s">
        <v>886</v>
      </c>
      <c r="D1076" s="4" t="str">
        <f t="shared" si="1"/>
        <v>MA3</v>
      </c>
      <c r="E1076" s="4">
        <f t="shared" si="2"/>
        <v>4240.416667</v>
      </c>
      <c r="F1076" s="4">
        <f t="shared" si="3"/>
        <v>1413.472222</v>
      </c>
      <c r="G1076" s="4">
        <f t="shared" si="4"/>
        <v>4240</v>
      </c>
      <c r="H1076" s="4" t="str">
        <f t="shared" si="5"/>
        <v>Uu tien cao</v>
      </c>
    </row>
    <row r="1077" ht="14.25" customHeight="1">
      <c r="A1077" s="4" t="s">
        <v>1094</v>
      </c>
      <c r="B1077" s="4">
        <v>5782.0</v>
      </c>
      <c r="C1077" s="4" t="s">
        <v>886</v>
      </c>
      <c r="D1077" s="4" t="str">
        <f t="shared" si="1"/>
        <v>MA3</v>
      </c>
      <c r="E1077" s="4">
        <f t="shared" si="2"/>
        <v>481.8333333</v>
      </c>
      <c r="F1077" s="4">
        <f t="shared" si="3"/>
        <v>160.6111111</v>
      </c>
      <c r="G1077" s="4">
        <f t="shared" si="4"/>
        <v>482</v>
      </c>
      <c r="H1077" s="4" t="str">
        <f t="shared" si="5"/>
        <v>Binh thuong</v>
      </c>
    </row>
    <row r="1078" ht="14.25" customHeight="1">
      <c r="A1078" s="4" t="s">
        <v>1095</v>
      </c>
      <c r="B1078" s="4">
        <v>23842.0</v>
      </c>
      <c r="C1078" s="4" t="s">
        <v>886</v>
      </c>
      <c r="D1078" s="4" t="str">
        <f t="shared" si="1"/>
        <v>MA3</v>
      </c>
      <c r="E1078" s="4">
        <f t="shared" si="2"/>
        <v>1986.833333</v>
      </c>
      <c r="F1078" s="4">
        <f t="shared" si="3"/>
        <v>662.2777778</v>
      </c>
      <c r="G1078" s="4">
        <f t="shared" si="4"/>
        <v>1987</v>
      </c>
      <c r="H1078" s="4" t="str">
        <f t="shared" si="5"/>
        <v>Binh thuong</v>
      </c>
    </row>
    <row r="1079" ht="14.25" customHeight="1">
      <c r="A1079" s="4" t="s">
        <v>1096</v>
      </c>
      <c r="B1079" s="4">
        <v>211040.0</v>
      </c>
      <c r="C1079" s="4" t="s">
        <v>886</v>
      </c>
      <c r="D1079" s="4" t="str">
        <f t="shared" si="1"/>
        <v>MA3</v>
      </c>
      <c r="E1079" s="4">
        <f t="shared" si="2"/>
        <v>17586.66667</v>
      </c>
      <c r="F1079" s="4">
        <f t="shared" si="3"/>
        <v>5862.222222</v>
      </c>
      <c r="G1079" s="4">
        <f t="shared" si="4"/>
        <v>17587</v>
      </c>
      <c r="H1079" s="4" t="str">
        <f t="shared" si="5"/>
        <v>Uu tien cao</v>
      </c>
    </row>
    <row r="1080" ht="14.25" customHeight="1">
      <c r="A1080" s="4" t="s">
        <v>1097</v>
      </c>
      <c r="B1080" s="4">
        <v>261738.0</v>
      </c>
      <c r="C1080" s="4" t="s">
        <v>886</v>
      </c>
      <c r="D1080" s="4" t="str">
        <f t="shared" si="1"/>
        <v>MA3</v>
      </c>
      <c r="E1080" s="4">
        <f t="shared" si="2"/>
        <v>21811.5</v>
      </c>
      <c r="F1080" s="4">
        <f t="shared" si="3"/>
        <v>7270.5</v>
      </c>
      <c r="G1080" s="4">
        <f t="shared" si="4"/>
        <v>21812</v>
      </c>
      <c r="H1080" s="4" t="str">
        <f t="shared" si="5"/>
        <v>Uu tien cao</v>
      </c>
    </row>
    <row r="1081" ht="14.25" customHeight="1">
      <c r="A1081" s="4" t="s">
        <v>1098</v>
      </c>
      <c r="B1081" s="4">
        <v>300847.0</v>
      </c>
      <c r="C1081" s="4" t="s">
        <v>886</v>
      </c>
      <c r="D1081" s="4" t="str">
        <f t="shared" si="1"/>
        <v>MA3</v>
      </c>
      <c r="E1081" s="4">
        <f t="shared" si="2"/>
        <v>25070.58333</v>
      </c>
      <c r="F1081" s="4">
        <f t="shared" si="3"/>
        <v>8356.861111</v>
      </c>
      <c r="G1081" s="4">
        <f t="shared" si="4"/>
        <v>25071</v>
      </c>
      <c r="H1081" s="4" t="str">
        <f t="shared" si="5"/>
        <v>Uu tien cao</v>
      </c>
    </row>
    <row r="1082" ht="14.25" customHeight="1">
      <c r="A1082" s="4" t="s">
        <v>1099</v>
      </c>
      <c r="B1082" s="4">
        <v>170256.0</v>
      </c>
      <c r="C1082" s="4" t="s">
        <v>886</v>
      </c>
      <c r="D1082" s="4" t="str">
        <f t="shared" si="1"/>
        <v>MA3</v>
      </c>
      <c r="E1082" s="4">
        <f t="shared" si="2"/>
        <v>14188</v>
      </c>
      <c r="F1082" s="4">
        <f t="shared" si="3"/>
        <v>4729.333333</v>
      </c>
      <c r="G1082" s="4">
        <f t="shared" si="4"/>
        <v>14188</v>
      </c>
      <c r="H1082" s="4" t="str">
        <f t="shared" si="5"/>
        <v>Uu tien cao</v>
      </c>
    </row>
    <row r="1083" ht="14.25" customHeight="1">
      <c r="A1083" s="4" t="s">
        <v>1100</v>
      </c>
      <c r="B1083" s="4">
        <v>375291.0</v>
      </c>
      <c r="C1083" s="4" t="s">
        <v>886</v>
      </c>
      <c r="D1083" s="4" t="str">
        <f t="shared" si="1"/>
        <v>MA3</v>
      </c>
      <c r="E1083" s="4">
        <f t="shared" si="2"/>
        <v>31274.25</v>
      </c>
      <c r="F1083" s="4">
        <f t="shared" si="3"/>
        <v>10424.75</v>
      </c>
      <c r="G1083" s="4">
        <f t="shared" si="4"/>
        <v>31274</v>
      </c>
      <c r="H1083" s="4" t="str">
        <f t="shared" si="5"/>
        <v>Uu tien cao</v>
      </c>
    </row>
    <row r="1084" ht="14.25" customHeight="1">
      <c r="A1084" s="4" t="s">
        <v>1101</v>
      </c>
      <c r="B1084" s="4">
        <v>138460.0</v>
      </c>
      <c r="C1084" s="4" t="s">
        <v>886</v>
      </c>
      <c r="D1084" s="4" t="str">
        <f t="shared" si="1"/>
        <v>MA3</v>
      </c>
      <c r="E1084" s="4">
        <f t="shared" si="2"/>
        <v>11538.33333</v>
      </c>
      <c r="F1084" s="4">
        <f t="shared" si="3"/>
        <v>3846.111111</v>
      </c>
      <c r="G1084" s="4">
        <f t="shared" si="4"/>
        <v>11538</v>
      </c>
      <c r="H1084" s="4" t="str">
        <f t="shared" si="5"/>
        <v>Uu tien cao</v>
      </c>
    </row>
    <row r="1085" ht="14.25" customHeight="1">
      <c r="A1085" s="4" t="s">
        <v>1102</v>
      </c>
      <c r="B1085" s="4">
        <v>272379.0</v>
      </c>
      <c r="C1085" s="4" t="s">
        <v>886</v>
      </c>
      <c r="D1085" s="4" t="str">
        <f t="shared" si="1"/>
        <v>MA3</v>
      </c>
      <c r="E1085" s="4">
        <f t="shared" si="2"/>
        <v>22698.25</v>
      </c>
      <c r="F1085" s="4">
        <f t="shared" si="3"/>
        <v>7566.083333</v>
      </c>
      <c r="G1085" s="4">
        <f t="shared" si="4"/>
        <v>22698</v>
      </c>
      <c r="H1085" s="4" t="str">
        <f t="shared" si="5"/>
        <v>Uu tien cao</v>
      </c>
    </row>
    <row r="1086" ht="14.25" customHeight="1">
      <c r="A1086" s="4" t="s">
        <v>1103</v>
      </c>
      <c r="B1086" s="4">
        <v>33519.0</v>
      </c>
      <c r="C1086" s="4" t="s">
        <v>886</v>
      </c>
      <c r="D1086" s="4" t="str">
        <f t="shared" si="1"/>
        <v>MA3</v>
      </c>
      <c r="E1086" s="4">
        <f t="shared" si="2"/>
        <v>2793.25</v>
      </c>
      <c r="F1086" s="4">
        <f t="shared" si="3"/>
        <v>931.0833333</v>
      </c>
      <c r="G1086" s="4">
        <f t="shared" si="4"/>
        <v>2793</v>
      </c>
      <c r="H1086" s="4" t="str">
        <f t="shared" si="5"/>
        <v>Binh thuong</v>
      </c>
    </row>
    <row r="1087" ht="14.25" customHeight="1">
      <c r="A1087" s="4" t="s">
        <v>1104</v>
      </c>
      <c r="B1087" s="4">
        <v>64474.0</v>
      </c>
      <c r="C1087" s="4" t="s">
        <v>886</v>
      </c>
      <c r="D1087" s="4" t="str">
        <f t="shared" si="1"/>
        <v>MA3</v>
      </c>
      <c r="E1087" s="4">
        <f t="shared" si="2"/>
        <v>5372.833333</v>
      </c>
      <c r="F1087" s="4">
        <f t="shared" si="3"/>
        <v>1790.944444</v>
      </c>
      <c r="G1087" s="4">
        <f t="shared" si="4"/>
        <v>5373</v>
      </c>
      <c r="H1087" s="4" t="str">
        <f t="shared" si="5"/>
        <v>Uu tien cao</v>
      </c>
    </row>
    <row r="1088" ht="14.25" customHeight="1">
      <c r="A1088" s="4" t="s">
        <v>1105</v>
      </c>
      <c r="B1088" s="4">
        <v>46291.0</v>
      </c>
      <c r="C1088" s="4" t="s">
        <v>886</v>
      </c>
      <c r="D1088" s="4" t="str">
        <f t="shared" si="1"/>
        <v>MA3</v>
      </c>
      <c r="E1088" s="4">
        <f t="shared" si="2"/>
        <v>3857.583333</v>
      </c>
      <c r="F1088" s="4">
        <f t="shared" si="3"/>
        <v>1285.861111</v>
      </c>
      <c r="G1088" s="4">
        <f t="shared" si="4"/>
        <v>3858</v>
      </c>
      <c r="H1088" s="4" t="str">
        <f t="shared" si="5"/>
        <v>Uu tien cao</v>
      </c>
    </row>
    <row r="1089" ht="14.25" customHeight="1">
      <c r="A1089" s="4" t="s">
        <v>1106</v>
      </c>
      <c r="B1089" s="4">
        <v>34946.0</v>
      </c>
      <c r="C1089" s="4" t="s">
        <v>886</v>
      </c>
      <c r="D1089" s="4" t="str">
        <f t="shared" si="1"/>
        <v>MA3</v>
      </c>
      <c r="E1089" s="4">
        <f t="shared" si="2"/>
        <v>2912.166667</v>
      </c>
      <c r="F1089" s="4">
        <f t="shared" si="3"/>
        <v>970.7222222</v>
      </c>
      <c r="G1089" s="4">
        <f t="shared" si="4"/>
        <v>2912</v>
      </c>
      <c r="H1089" s="4" t="str">
        <f t="shared" si="5"/>
        <v>Binh thuong</v>
      </c>
    </row>
    <row r="1090" ht="14.25" customHeight="1">
      <c r="A1090" s="4" t="s">
        <v>1107</v>
      </c>
      <c r="B1090" s="4">
        <v>28715.0</v>
      </c>
      <c r="C1090" s="4" t="s">
        <v>886</v>
      </c>
      <c r="D1090" s="4" t="str">
        <f t="shared" si="1"/>
        <v>MA3</v>
      </c>
      <c r="E1090" s="4">
        <f t="shared" si="2"/>
        <v>2392.916667</v>
      </c>
      <c r="F1090" s="4">
        <f t="shared" si="3"/>
        <v>797.6388889</v>
      </c>
      <c r="G1090" s="4">
        <f t="shared" si="4"/>
        <v>2393</v>
      </c>
      <c r="H1090" s="4" t="str">
        <f t="shared" si="5"/>
        <v>Binh thuong</v>
      </c>
    </row>
    <row r="1091" ht="14.25" customHeight="1">
      <c r="A1091" s="4" t="s">
        <v>1108</v>
      </c>
      <c r="B1091" s="4">
        <v>42113.0</v>
      </c>
      <c r="C1091" s="4" t="s">
        <v>886</v>
      </c>
      <c r="D1091" s="4" t="str">
        <f t="shared" si="1"/>
        <v>MA3</v>
      </c>
      <c r="E1091" s="4">
        <f t="shared" si="2"/>
        <v>3509.416667</v>
      </c>
      <c r="F1091" s="4">
        <f t="shared" si="3"/>
        <v>1169.805556</v>
      </c>
      <c r="G1091" s="4">
        <f t="shared" si="4"/>
        <v>3509</v>
      </c>
      <c r="H1091" s="4" t="str">
        <f t="shared" si="5"/>
        <v>Uu tien cao</v>
      </c>
    </row>
    <row r="1092" ht="14.25" customHeight="1">
      <c r="A1092" s="4" t="s">
        <v>1109</v>
      </c>
      <c r="B1092" s="4">
        <v>24898.0</v>
      </c>
      <c r="C1092" s="4" t="s">
        <v>886</v>
      </c>
      <c r="D1092" s="4" t="str">
        <f t="shared" si="1"/>
        <v>MA3</v>
      </c>
      <c r="E1092" s="4">
        <f t="shared" si="2"/>
        <v>2074.833333</v>
      </c>
      <c r="F1092" s="4">
        <f t="shared" si="3"/>
        <v>691.6111111</v>
      </c>
      <c r="G1092" s="4">
        <f t="shared" si="4"/>
        <v>2075</v>
      </c>
      <c r="H1092" s="4" t="str">
        <f t="shared" si="5"/>
        <v>Binh thuong</v>
      </c>
    </row>
    <row r="1093" ht="14.25" customHeight="1">
      <c r="A1093" s="4" t="s">
        <v>1110</v>
      </c>
      <c r="B1093" s="4">
        <v>25489.0</v>
      </c>
      <c r="C1093" s="4" t="s">
        <v>886</v>
      </c>
      <c r="D1093" s="4" t="str">
        <f t="shared" si="1"/>
        <v>MA3</v>
      </c>
      <c r="E1093" s="4">
        <f t="shared" si="2"/>
        <v>2124.083333</v>
      </c>
      <c r="F1093" s="4">
        <f t="shared" si="3"/>
        <v>708.0277778</v>
      </c>
      <c r="G1093" s="4">
        <f t="shared" si="4"/>
        <v>2124</v>
      </c>
      <c r="H1093" s="4" t="str">
        <f t="shared" si="5"/>
        <v>Binh thuong</v>
      </c>
    </row>
    <row r="1094" ht="14.25" customHeight="1">
      <c r="A1094" s="4" t="s">
        <v>1111</v>
      </c>
      <c r="B1094" s="4">
        <v>23039.0</v>
      </c>
      <c r="C1094" s="4" t="s">
        <v>886</v>
      </c>
      <c r="D1094" s="4" t="str">
        <f t="shared" si="1"/>
        <v>MA3</v>
      </c>
      <c r="E1094" s="4">
        <f t="shared" si="2"/>
        <v>1919.916667</v>
      </c>
      <c r="F1094" s="4">
        <f t="shared" si="3"/>
        <v>639.9722222</v>
      </c>
      <c r="G1094" s="4">
        <f t="shared" si="4"/>
        <v>1920</v>
      </c>
      <c r="H1094" s="4" t="str">
        <f t="shared" si="5"/>
        <v>Binh thuong</v>
      </c>
    </row>
    <row r="1095" ht="14.25" customHeight="1">
      <c r="A1095" s="4" t="s">
        <v>1112</v>
      </c>
      <c r="B1095" s="4">
        <v>12073.0</v>
      </c>
      <c r="C1095" s="4" t="s">
        <v>886</v>
      </c>
      <c r="D1095" s="4" t="str">
        <f t="shared" si="1"/>
        <v>MA3</v>
      </c>
      <c r="E1095" s="4">
        <f t="shared" si="2"/>
        <v>1006.083333</v>
      </c>
      <c r="F1095" s="4">
        <f t="shared" si="3"/>
        <v>335.3611111</v>
      </c>
      <c r="G1095" s="4">
        <f t="shared" si="4"/>
        <v>1006</v>
      </c>
      <c r="H1095" s="4" t="str">
        <f t="shared" si="5"/>
        <v>Binh thuong</v>
      </c>
    </row>
    <row r="1096" ht="14.25" customHeight="1">
      <c r="A1096" s="4" t="s">
        <v>1113</v>
      </c>
      <c r="B1096" s="4">
        <v>12973.0</v>
      </c>
      <c r="C1096" s="4" t="s">
        <v>886</v>
      </c>
      <c r="D1096" s="4" t="str">
        <f t="shared" si="1"/>
        <v>MA3</v>
      </c>
      <c r="E1096" s="4">
        <f t="shared" si="2"/>
        <v>1081.083333</v>
      </c>
      <c r="F1096" s="4">
        <f t="shared" si="3"/>
        <v>360.3611111</v>
      </c>
      <c r="G1096" s="4">
        <f t="shared" si="4"/>
        <v>1081</v>
      </c>
      <c r="H1096" s="4" t="str">
        <f t="shared" si="5"/>
        <v>Binh thuong</v>
      </c>
    </row>
    <row r="1097" ht="14.25" customHeight="1">
      <c r="A1097" s="4" t="s">
        <v>1114</v>
      </c>
      <c r="B1097" s="4">
        <v>9567.0</v>
      </c>
      <c r="C1097" s="4" t="s">
        <v>886</v>
      </c>
      <c r="D1097" s="4" t="str">
        <f t="shared" si="1"/>
        <v>MA3</v>
      </c>
      <c r="E1097" s="4">
        <f t="shared" si="2"/>
        <v>797.25</v>
      </c>
      <c r="F1097" s="4">
        <f t="shared" si="3"/>
        <v>265.75</v>
      </c>
      <c r="G1097" s="4">
        <f t="shared" si="4"/>
        <v>797</v>
      </c>
      <c r="H1097" s="4" t="str">
        <f t="shared" si="5"/>
        <v>Binh thuong</v>
      </c>
    </row>
    <row r="1098" ht="14.25" customHeight="1">
      <c r="A1098" s="4" t="s">
        <v>1115</v>
      </c>
      <c r="B1098" s="4">
        <v>14868.0</v>
      </c>
      <c r="C1098" s="4" t="s">
        <v>886</v>
      </c>
      <c r="D1098" s="4" t="str">
        <f t="shared" si="1"/>
        <v>MA3</v>
      </c>
      <c r="E1098" s="4">
        <f t="shared" si="2"/>
        <v>1239</v>
      </c>
      <c r="F1098" s="4">
        <f t="shared" si="3"/>
        <v>413</v>
      </c>
      <c r="G1098" s="4">
        <f t="shared" si="4"/>
        <v>1239</v>
      </c>
      <c r="H1098" s="4" t="str">
        <f t="shared" si="5"/>
        <v>Binh thuong</v>
      </c>
    </row>
    <row r="1099" ht="14.25" customHeight="1">
      <c r="A1099" s="4" t="s">
        <v>1116</v>
      </c>
      <c r="B1099" s="4">
        <v>12573.0</v>
      </c>
      <c r="C1099" s="4" t="s">
        <v>886</v>
      </c>
      <c r="D1099" s="4" t="str">
        <f t="shared" si="1"/>
        <v>MA3</v>
      </c>
      <c r="E1099" s="4">
        <f t="shared" si="2"/>
        <v>1047.75</v>
      </c>
      <c r="F1099" s="4">
        <f t="shared" si="3"/>
        <v>349.25</v>
      </c>
      <c r="G1099" s="4">
        <f t="shared" si="4"/>
        <v>1048</v>
      </c>
      <c r="H1099" s="4" t="str">
        <f t="shared" si="5"/>
        <v>Binh thuong</v>
      </c>
    </row>
    <row r="1100" ht="14.25" customHeight="1">
      <c r="A1100" s="4" t="s">
        <v>1117</v>
      </c>
      <c r="B1100" s="4">
        <v>6166.0</v>
      </c>
      <c r="C1100" s="4" t="s">
        <v>886</v>
      </c>
      <c r="D1100" s="4" t="str">
        <f t="shared" si="1"/>
        <v>MA3</v>
      </c>
      <c r="E1100" s="4">
        <f t="shared" si="2"/>
        <v>513.8333333</v>
      </c>
      <c r="F1100" s="4">
        <f t="shared" si="3"/>
        <v>171.2777778</v>
      </c>
      <c r="G1100" s="4">
        <f t="shared" si="4"/>
        <v>514</v>
      </c>
      <c r="H1100" s="4" t="str">
        <f t="shared" si="5"/>
        <v>Binh thuong</v>
      </c>
    </row>
    <row r="1101" ht="14.25" customHeight="1">
      <c r="A1101" s="4" t="s">
        <v>1118</v>
      </c>
      <c r="B1101" s="4">
        <v>18774.0</v>
      </c>
      <c r="C1101" s="4" t="s">
        <v>886</v>
      </c>
      <c r="D1101" s="4" t="str">
        <f t="shared" si="1"/>
        <v>MA3</v>
      </c>
      <c r="E1101" s="4">
        <f t="shared" si="2"/>
        <v>1564.5</v>
      </c>
      <c r="F1101" s="4">
        <f t="shared" si="3"/>
        <v>521.5</v>
      </c>
      <c r="G1101" s="4">
        <f t="shared" si="4"/>
        <v>1565</v>
      </c>
      <c r="H1101" s="4" t="str">
        <f t="shared" si="5"/>
        <v>Binh thuong</v>
      </c>
    </row>
    <row r="1102" ht="14.25" customHeight="1">
      <c r="A1102" s="4" t="s">
        <v>1119</v>
      </c>
      <c r="B1102" s="4">
        <v>24902.0</v>
      </c>
      <c r="C1102" s="4" t="s">
        <v>886</v>
      </c>
      <c r="D1102" s="4" t="str">
        <f t="shared" si="1"/>
        <v>MA3</v>
      </c>
      <c r="E1102" s="4">
        <f t="shared" si="2"/>
        <v>2075.166667</v>
      </c>
      <c r="F1102" s="4">
        <f t="shared" si="3"/>
        <v>691.7222222</v>
      </c>
      <c r="G1102" s="4">
        <f t="shared" si="4"/>
        <v>2075</v>
      </c>
      <c r="H1102" s="4" t="str">
        <f t="shared" si="5"/>
        <v>Binh thuong</v>
      </c>
    </row>
    <row r="1103" ht="14.25" customHeight="1">
      <c r="A1103" s="4" t="s">
        <v>1120</v>
      </c>
      <c r="B1103" s="4">
        <v>17667.0</v>
      </c>
      <c r="C1103" s="4" t="s">
        <v>886</v>
      </c>
      <c r="D1103" s="4" t="str">
        <f t="shared" si="1"/>
        <v>MA3</v>
      </c>
      <c r="E1103" s="4">
        <f t="shared" si="2"/>
        <v>1472.25</v>
      </c>
      <c r="F1103" s="4">
        <f t="shared" si="3"/>
        <v>490.75</v>
      </c>
      <c r="G1103" s="4">
        <f t="shared" si="4"/>
        <v>1472</v>
      </c>
      <c r="H1103" s="4" t="str">
        <f t="shared" si="5"/>
        <v>Binh thuong</v>
      </c>
    </row>
    <row r="1104" ht="14.25" customHeight="1">
      <c r="A1104" s="4" t="s">
        <v>1121</v>
      </c>
      <c r="B1104" s="4">
        <v>13818.0</v>
      </c>
      <c r="C1104" s="4" t="s">
        <v>886</v>
      </c>
      <c r="D1104" s="4" t="str">
        <f t="shared" si="1"/>
        <v>MA3</v>
      </c>
      <c r="E1104" s="4">
        <f t="shared" si="2"/>
        <v>1151.5</v>
      </c>
      <c r="F1104" s="4">
        <f t="shared" si="3"/>
        <v>383.8333333</v>
      </c>
      <c r="G1104" s="4">
        <f t="shared" si="4"/>
        <v>1152</v>
      </c>
      <c r="H1104" s="4" t="str">
        <f t="shared" si="5"/>
        <v>Binh thuong</v>
      </c>
    </row>
    <row r="1105" ht="14.25" customHeight="1">
      <c r="A1105" s="4" t="s">
        <v>1122</v>
      </c>
      <c r="B1105" s="4">
        <v>31088.0</v>
      </c>
      <c r="C1105" s="4" t="s">
        <v>886</v>
      </c>
      <c r="D1105" s="4" t="str">
        <f t="shared" si="1"/>
        <v>MA3</v>
      </c>
      <c r="E1105" s="4">
        <f t="shared" si="2"/>
        <v>2590.666667</v>
      </c>
      <c r="F1105" s="4">
        <f t="shared" si="3"/>
        <v>863.5555556</v>
      </c>
      <c r="G1105" s="4">
        <f t="shared" si="4"/>
        <v>2591</v>
      </c>
      <c r="H1105" s="4" t="str">
        <f t="shared" si="5"/>
        <v>Binh thuong</v>
      </c>
    </row>
    <row r="1106" ht="14.25" customHeight="1">
      <c r="A1106" s="4" t="s">
        <v>1123</v>
      </c>
      <c r="B1106" s="4">
        <v>7346.0</v>
      </c>
      <c r="C1106" s="4" t="s">
        <v>886</v>
      </c>
      <c r="D1106" s="4" t="str">
        <f t="shared" si="1"/>
        <v>MA3</v>
      </c>
      <c r="E1106" s="4">
        <f t="shared" si="2"/>
        <v>612.1666667</v>
      </c>
      <c r="F1106" s="4">
        <f t="shared" si="3"/>
        <v>204.0555556</v>
      </c>
      <c r="G1106" s="4">
        <f t="shared" si="4"/>
        <v>612</v>
      </c>
      <c r="H1106" s="4" t="str">
        <f t="shared" si="5"/>
        <v>Binh thuong</v>
      </c>
    </row>
    <row r="1107" ht="14.25" customHeight="1">
      <c r="A1107" s="4" t="s">
        <v>1124</v>
      </c>
      <c r="B1107" s="4">
        <v>9439.0</v>
      </c>
      <c r="C1107" s="4" t="s">
        <v>886</v>
      </c>
      <c r="D1107" s="4" t="str">
        <f t="shared" si="1"/>
        <v>MA3</v>
      </c>
      <c r="E1107" s="4">
        <f t="shared" si="2"/>
        <v>786.5833333</v>
      </c>
      <c r="F1107" s="4">
        <f t="shared" si="3"/>
        <v>262.1944444</v>
      </c>
      <c r="G1107" s="4">
        <f t="shared" si="4"/>
        <v>787</v>
      </c>
      <c r="H1107" s="4" t="str">
        <f t="shared" si="5"/>
        <v>Binh thuong</v>
      </c>
    </row>
    <row r="1108" ht="14.25" customHeight="1">
      <c r="A1108" s="4" t="s">
        <v>1125</v>
      </c>
      <c r="B1108" s="4">
        <v>13930.0</v>
      </c>
      <c r="C1108" s="4" t="s">
        <v>886</v>
      </c>
      <c r="D1108" s="4" t="str">
        <f t="shared" si="1"/>
        <v>MA3</v>
      </c>
      <c r="E1108" s="4">
        <f t="shared" si="2"/>
        <v>1160.833333</v>
      </c>
      <c r="F1108" s="4">
        <f t="shared" si="3"/>
        <v>386.9444444</v>
      </c>
      <c r="G1108" s="4">
        <f t="shared" si="4"/>
        <v>1161</v>
      </c>
      <c r="H1108" s="4" t="str">
        <f t="shared" si="5"/>
        <v>Binh thuong</v>
      </c>
    </row>
    <row r="1109" ht="14.25" customHeight="1">
      <c r="A1109" s="4" t="s">
        <v>1126</v>
      </c>
      <c r="B1109" s="4">
        <v>21704.0</v>
      </c>
      <c r="C1109" s="4" t="s">
        <v>886</v>
      </c>
      <c r="D1109" s="4" t="str">
        <f t="shared" si="1"/>
        <v>MA3</v>
      </c>
      <c r="E1109" s="4">
        <f t="shared" si="2"/>
        <v>1808.666667</v>
      </c>
      <c r="F1109" s="4">
        <f t="shared" si="3"/>
        <v>602.8888889</v>
      </c>
      <c r="G1109" s="4">
        <f t="shared" si="4"/>
        <v>1809</v>
      </c>
      <c r="H1109" s="4" t="str">
        <f t="shared" si="5"/>
        <v>Binh thuong</v>
      </c>
    </row>
    <row r="1110" ht="14.25" customHeight="1">
      <c r="A1110" s="4" t="s">
        <v>1127</v>
      </c>
      <c r="B1110" s="4">
        <v>28092.0</v>
      </c>
      <c r="C1110" s="4" t="s">
        <v>886</v>
      </c>
      <c r="D1110" s="4" t="str">
        <f t="shared" si="1"/>
        <v>MA3</v>
      </c>
      <c r="E1110" s="4">
        <f t="shared" si="2"/>
        <v>2341</v>
      </c>
      <c r="F1110" s="4">
        <f t="shared" si="3"/>
        <v>780.3333333</v>
      </c>
      <c r="G1110" s="4">
        <f t="shared" si="4"/>
        <v>2341</v>
      </c>
      <c r="H1110" s="4" t="str">
        <f t="shared" si="5"/>
        <v>Binh thuong</v>
      </c>
    </row>
    <row r="1111" ht="14.25" customHeight="1">
      <c r="A1111" s="4" t="s">
        <v>1128</v>
      </c>
      <c r="B1111" s="4">
        <v>13395.0</v>
      </c>
      <c r="C1111" s="4" t="s">
        <v>886</v>
      </c>
      <c r="D1111" s="4" t="str">
        <f t="shared" si="1"/>
        <v>MA3</v>
      </c>
      <c r="E1111" s="4">
        <f t="shared" si="2"/>
        <v>1116.25</v>
      </c>
      <c r="F1111" s="4">
        <f t="shared" si="3"/>
        <v>372.0833333</v>
      </c>
      <c r="G1111" s="4">
        <f t="shared" si="4"/>
        <v>1116</v>
      </c>
      <c r="H1111" s="4" t="str">
        <f t="shared" si="5"/>
        <v>Binh thuong</v>
      </c>
    </row>
    <row r="1112" ht="14.25" customHeight="1">
      <c r="A1112" s="4" t="s">
        <v>1129</v>
      </c>
      <c r="B1112" s="4">
        <v>11718.0</v>
      </c>
      <c r="C1112" s="4" t="s">
        <v>886</v>
      </c>
      <c r="D1112" s="4" t="str">
        <f t="shared" si="1"/>
        <v>MA3</v>
      </c>
      <c r="E1112" s="4">
        <f t="shared" si="2"/>
        <v>976.5</v>
      </c>
      <c r="F1112" s="4">
        <f t="shared" si="3"/>
        <v>325.5</v>
      </c>
      <c r="G1112" s="4">
        <f t="shared" si="4"/>
        <v>977</v>
      </c>
      <c r="H1112" s="4" t="str">
        <f t="shared" si="5"/>
        <v>Binh thuong</v>
      </c>
    </row>
    <row r="1113" ht="14.25" customHeight="1">
      <c r="A1113" s="4" t="s">
        <v>1130</v>
      </c>
      <c r="B1113" s="4">
        <v>15236.0</v>
      </c>
      <c r="C1113" s="4" t="s">
        <v>886</v>
      </c>
      <c r="D1113" s="4" t="str">
        <f t="shared" si="1"/>
        <v>MA3</v>
      </c>
      <c r="E1113" s="4">
        <f t="shared" si="2"/>
        <v>1269.666667</v>
      </c>
      <c r="F1113" s="4">
        <f t="shared" si="3"/>
        <v>423.2222222</v>
      </c>
      <c r="G1113" s="4">
        <f t="shared" si="4"/>
        <v>1270</v>
      </c>
      <c r="H1113" s="4" t="str">
        <f t="shared" si="5"/>
        <v>Binh thuong</v>
      </c>
    </row>
    <row r="1114" ht="14.25" customHeight="1">
      <c r="A1114" s="4" t="s">
        <v>1131</v>
      </c>
      <c r="B1114" s="4">
        <v>3230.0</v>
      </c>
      <c r="C1114" s="4" t="s">
        <v>886</v>
      </c>
      <c r="D1114" s="4" t="str">
        <f t="shared" si="1"/>
        <v>MA3</v>
      </c>
      <c r="E1114" s="4">
        <f t="shared" si="2"/>
        <v>269.1666667</v>
      </c>
      <c r="F1114" s="4">
        <f t="shared" si="3"/>
        <v>89.72222222</v>
      </c>
      <c r="G1114" s="4">
        <f t="shared" si="4"/>
        <v>269</v>
      </c>
      <c r="H1114" s="4" t="str">
        <f t="shared" si="5"/>
        <v>Binh thuong</v>
      </c>
    </row>
    <row r="1115" ht="14.25" customHeight="1">
      <c r="A1115" s="4" t="s">
        <v>1132</v>
      </c>
      <c r="B1115" s="4">
        <v>10685.0</v>
      </c>
      <c r="C1115" s="4" t="s">
        <v>886</v>
      </c>
      <c r="D1115" s="4" t="str">
        <f t="shared" si="1"/>
        <v>MA3</v>
      </c>
      <c r="E1115" s="4">
        <f t="shared" si="2"/>
        <v>890.4166667</v>
      </c>
      <c r="F1115" s="4">
        <f t="shared" si="3"/>
        <v>296.8055556</v>
      </c>
      <c r="G1115" s="4">
        <f t="shared" si="4"/>
        <v>890</v>
      </c>
      <c r="H1115" s="4" t="str">
        <f t="shared" si="5"/>
        <v>Binh thuong</v>
      </c>
    </row>
    <row r="1116" ht="14.25" customHeight="1">
      <c r="A1116" s="4" t="s">
        <v>1133</v>
      </c>
      <c r="B1116" s="4">
        <v>26568.0</v>
      </c>
      <c r="C1116" s="4" t="s">
        <v>886</v>
      </c>
      <c r="D1116" s="4" t="str">
        <f t="shared" si="1"/>
        <v>MA3</v>
      </c>
      <c r="E1116" s="4">
        <f t="shared" si="2"/>
        <v>2214</v>
      </c>
      <c r="F1116" s="4">
        <f t="shared" si="3"/>
        <v>738</v>
      </c>
      <c r="G1116" s="4">
        <f t="shared" si="4"/>
        <v>2214</v>
      </c>
      <c r="H1116" s="4" t="str">
        <f t="shared" si="5"/>
        <v>Binh thuong</v>
      </c>
    </row>
    <row r="1117" ht="14.25" customHeight="1">
      <c r="A1117" s="4" t="s">
        <v>1134</v>
      </c>
      <c r="B1117" s="4">
        <v>27612.0</v>
      </c>
      <c r="C1117" s="4" t="s">
        <v>886</v>
      </c>
      <c r="D1117" s="4" t="str">
        <f t="shared" si="1"/>
        <v>MA3</v>
      </c>
      <c r="E1117" s="4">
        <f t="shared" si="2"/>
        <v>2301</v>
      </c>
      <c r="F1117" s="4">
        <f t="shared" si="3"/>
        <v>767</v>
      </c>
      <c r="G1117" s="4">
        <f t="shared" si="4"/>
        <v>2301</v>
      </c>
      <c r="H1117" s="4" t="str">
        <f t="shared" si="5"/>
        <v>Binh thuong</v>
      </c>
    </row>
    <row r="1118" ht="14.25" customHeight="1">
      <c r="A1118" s="4" t="s">
        <v>1135</v>
      </c>
      <c r="B1118" s="4">
        <v>38373.0</v>
      </c>
      <c r="C1118" s="4" t="s">
        <v>886</v>
      </c>
      <c r="D1118" s="4" t="str">
        <f t="shared" si="1"/>
        <v>MA3</v>
      </c>
      <c r="E1118" s="4">
        <f t="shared" si="2"/>
        <v>3197.75</v>
      </c>
      <c r="F1118" s="4">
        <f t="shared" si="3"/>
        <v>1065.916667</v>
      </c>
      <c r="G1118" s="4">
        <f t="shared" si="4"/>
        <v>3198</v>
      </c>
      <c r="H1118" s="4" t="str">
        <f t="shared" si="5"/>
        <v>Binh thuong</v>
      </c>
    </row>
    <row r="1119" ht="14.25" customHeight="1">
      <c r="A1119" s="4" t="s">
        <v>1136</v>
      </c>
      <c r="B1119" s="4">
        <v>28185.0</v>
      </c>
      <c r="C1119" s="4" t="s">
        <v>886</v>
      </c>
      <c r="D1119" s="4" t="str">
        <f t="shared" si="1"/>
        <v>MA3</v>
      </c>
      <c r="E1119" s="4">
        <f t="shared" si="2"/>
        <v>2348.75</v>
      </c>
      <c r="F1119" s="4">
        <f t="shared" si="3"/>
        <v>782.9166667</v>
      </c>
      <c r="G1119" s="4">
        <f t="shared" si="4"/>
        <v>2349</v>
      </c>
      <c r="H1119" s="4" t="str">
        <f t="shared" si="5"/>
        <v>Binh thuong</v>
      </c>
    </row>
    <row r="1120" ht="14.25" customHeight="1">
      <c r="A1120" s="4" t="s">
        <v>1137</v>
      </c>
      <c r="B1120" s="4">
        <v>19947.0</v>
      </c>
      <c r="C1120" s="4" t="s">
        <v>886</v>
      </c>
      <c r="D1120" s="4" t="str">
        <f t="shared" si="1"/>
        <v>MA3</v>
      </c>
      <c r="E1120" s="4">
        <f t="shared" si="2"/>
        <v>1662.25</v>
      </c>
      <c r="F1120" s="4">
        <f t="shared" si="3"/>
        <v>554.0833333</v>
      </c>
      <c r="G1120" s="4">
        <f t="shared" si="4"/>
        <v>1662</v>
      </c>
      <c r="H1120" s="4" t="str">
        <f t="shared" si="5"/>
        <v>Binh thuong</v>
      </c>
    </row>
    <row r="1121" ht="14.25" customHeight="1">
      <c r="A1121" s="4" t="s">
        <v>1138</v>
      </c>
      <c r="B1121" s="4">
        <v>28877.0</v>
      </c>
      <c r="C1121" s="4" t="s">
        <v>886</v>
      </c>
      <c r="D1121" s="4" t="str">
        <f t="shared" si="1"/>
        <v>MA3</v>
      </c>
      <c r="E1121" s="4">
        <f t="shared" si="2"/>
        <v>2406.416667</v>
      </c>
      <c r="F1121" s="4">
        <f t="shared" si="3"/>
        <v>802.1388889</v>
      </c>
      <c r="G1121" s="4">
        <f t="shared" si="4"/>
        <v>2406</v>
      </c>
      <c r="H1121" s="4" t="str">
        <f t="shared" si="5"/>
        <v>Binh thuong</v>
      </c>
    </row>
    <row r="1122" ht="14.25" customHeight="1">
      <c r="A1122" s="4" t="s">
        <v>1139</v>
      </c>
      <c r="B1122" s="4">
        <v>58488.0</v>
      </c>
      <c r="C1122" s="4" t="s">
        <v>886</v>
      </c>
      <c r="D1122" s="4" t="str">
        <f t="shared" si="1"/>
        <v>MA3</v>
      </c>
      <c r="E1122" s="4">
        <f t="shared" si="2"/>
        <v>4874</v>
      </c>
      <c r="F1122" s="4">
        <f t="shared" si="3"/>
        <v>1624.666667</v>
      </c>
      <c r="G1122" s="4">
        <f t="shared" si="4"/>
        <v>4874</v>
      </c>
      <c r="H1122" s="4" t="str">
        <f t="shared" si="5"/>
        <v>Uu tien cao</v>
      </c>
    </row>
    <row r="1123" ht="14.25" customHeight="1">
      <c r="A1123" s="4" t="s">
        <v>1140</v>
      </c>
      <c r="B1123" s="4">
        <v>66102.0</v>
      </c>
      <c r="C1123" s="4" t="s">
        <v>886</v>
      </c>
      <c r="D1123" s="4" t="str">
        <f t="shared" si="1"/>
        <v>MA3</v>
      </c>
      <c r="E1123" s="4">
        <f t="shared" si="2"/>
        <v>5508.5</v>
      </c>
      <c r="F1123" s="4">
        <f t="shared" si="3"/>
        <v>1836.166667</v>
      </c>
      <c r="G1123" s="4">
        <f t="shared" si="4"/>
        <v>5509</v>
      </c>
      <c r="H1123" s="4" t="str">
        <f t="shared" si="5"/>
        <v>Uu tien cao</v>
      </c>
    </row>
    <row r="1124" ht="14.25" customHeight="1">
      <c r="A1124" s="4" t="s">
        <v>1141</v>
      </c>
      <c r="B1124" s="4">
        <v>50739.0</v>
      </c>
      <c r="C1124" s="4" t="s">
        <v>886</v>
      </c>
      <c r="D1124" s="4" t="str">
        <f t="shared" si="1"/>
        <v>MA3</v>
      </c>
      <c r="E1124" s="4">
        <f t="shared" si="2"/>
        <v>4228.25</v>
      </c>
      <c r="F1124" s="4">
        <f t="shared" si="3"/>
        <v>1409.416667</v>
      </c>
      <c r="G1124" s="4">
        <f t="shared" si="4"/>
        <v>4228</v>
      </c>
      <c r="H1124" s="4" t="str">
        <f t="shared" si="5"/>
        <v>Uu tien cao</v>
      </c>
    </row>
    <row r="1125" ht="14.25" customHeight="1">
      <c r="A1125" s="4" t="s">
        <v>1142</v>
      </c>
      <c r="B1125" s="4">
        <v>67736.0</v>
      </c>
      <c r="C1125" s="4" t="s">
        <v>886</v>
      </c>
      <c r="D1125" s="4" t="str">
        <f t="shared" si="1"/>
        <v>MA3</v>
      </c>
      <c r="E1125" s="4">
        <f t="shared" si="2"/>
        <v>5644.666667</v>
      </c>
      <c r="F1125" s="4">
        <f t="shared" si="3"/>
        <v>1881.555556</v>
      </c>
      <c r="G1125" s="4">
        <f t="shared" si="4"/>
        <v>5645</v>
      </c>
      <c r="H1125" s="4" t="str">
        <f t="shared" si="5"/>
        <v>Uu tien cao</v>
      </c>
    </row>
    <row r="1126" ht="14.25" customHeight="1">
      <c r="A1126" s="4" t="s">
        <v>1143</v>
      </c>
      <c r="B1126" s="4">
        <v>72929.0</v>
      </c>
      <c r="C1126" s="4" t="s">
        <v>886</v>
      </c>
      <c r="D1126" s="4" t="str">
        <f t="shared" si="1"/>
        <v>MA3</v>
      </c>
      <c r="E1126" s="4">
        <f t="shared" si="2"/>
        <v>6077.416667</v>
      </c>
      <c r="F1126" s="4">
        <f t="shared" si="3"/>
        <v>2025.805556</v>
      </c>
      <c r="G1126" s="4">
        <f t="shared" si="4"/>
        <v>6077</v>
      </c>
      <c r="H1126" s="4" t="str">
        <f t="shared" si="5"/>
        <v>Uu tien cao</v>
      </c>
    </row>
    <row r="1127" ht="14.25" customHeight="1">
      <c r="A1127" s="4" t="s">
        <v>1144</v>
      </c>
      <c r="B1127" s="4">
        <v>44524.0</v>
      </c>
      <c r="C1127" s="4" t="s">
        <v>886</v>
      </c>
      <c r="D1127" s="4" t="str">
        <f t="shared" si="1"/>
        <v>MA3</v>
      </c>
      <c r="E1127" s="4">
        <f t="shared" si="2"/>
        <v>3710.333333</v>
      </c>
      <c r="F1127" s="4">
        <f t="shared" si="3"/>
        <v>1236.777778</v>
      </c>
      <c r="G1127" s="4">
        <f t="shared" si="4"/>
        <v>3710</v>
      </c>
      <c r="H1127" s="4" t="str">
        <f t="shared" si="5"/>
        <v>Uu tien cao</v>
      </c>
    </row>
    <row r="1128" ht="14.25" customHeight="1">
      <c r="A1128" s="4" t="s">
        <v>1145</v>
      </c>
      <c r="B1128" s="4">
        <v>43453.0</v>
      </c>
      <c r="C1128" s="4" t="s">
        <v>886</v>
      </c>
      <c r="D1128" s="4" t="str">
        <f t="shared" si="1"/>
        <v>MA3</v>
      </c>
      <c r="E1128" s="4">
        <f t="shared" si="2"/>
        <v>3621.083333</v>
      </c>
      <c r="F1128" s="4">
        <f t="shared" si="3"/>
        <v>1207.027778</v>
      </c>
      <c r="G1128" s="4">
        <f t="shared" si="4"/>
        <v>3621</v>
      </c>
      <c r="H1128" s="4" t="str">
        <f t="shared" si="5"/>
        <v>Uu tien cao</v>
      </c>
    </row>
    <row r="1129" ht="14.25" customHeight="1">
      <c r="A1129" s="4" t="s">
        <v>1146</v>
      </c>
      <c r="B1129" s="4">
        <v>18441.0</v>
      </c>
      <c r="C1129" s="4" t="s">
        <v>886</v>
      </c>
      <c r="D1129" s="4" t="str">
        <f t="shared" si="1"/>
        <v>MA3</v>
      </c>
      <c r="E1129" s="4">
        <f t="shared" si="2"/>
        <v>1536.75</v>
      </c>
      <c r="F1129" s="4">
        <f t="shared" si="3"/>
        <v>512.25</v>
      </c>
      <c r="G1129" s="4">
        <f t="shared" si="4"/>
        <v>1537</v>
      </c>
      <c r="H1129" s="4" t="str">
        <f t="shared" si="5"/>
        <v>Binh thuong</v>
      </c>
    </row>
    <row r="1130" ht="14.25" customHeight="1">
      <c r="A1130" s="4" t="s">
        <v>1147</v>
      </c>
      <c r="B1130" s="4">
        <v>39942.0</v>
      </c>
      <c r="C1130" s="4" t="s">
        <v>886</v>
      </c>
      <c r="D1130" s="4" t="str">
        <f t="shared" si="1"/>
        <v>MA3</v>
      </c>
      <c r="E1130" s="4">
        <f t="shared" si="2"/>
        <v>3328.5</v>
      </c>
      <c r="F1130" s="4">
        <f t="shared" si="3"/>
        <v>1109.5</v>
      </c>
      <c r="G1130" s="4">
        <f t="shared" si="4"/>
        <v>3329</v>
      </c>
      <c r="H1130" s="4" t="str">
        <f t="shared" si="5"/>
        <v>Binh thuong</v>
      </c>
    </row>
    <row r="1131" ht="14.25" customHeight="1">
      <c r="A1131" s="4" t="s">
        <v>1148</v>
      </c>
      <c r="B1131" s="4">
        <v>25152.0</v>
      </c>
      <c r="C1131" s="4" t="s">
        <v>886</v>
      </c>
      <c r="D1131" s="4" t="str">
        <f t="shared" si="1"/>
        <v>MA3</v>
      </c>
      <c r="E1131" s="4">
        <f t="shared" si="2"/>
        <v>2096</v>
      </c>
      <c r="F1131" s="4">
        <f t="shared" si="3"/>
        <v>698.6666667</v>
      </c>
      <c r="G1131" s="4">
        <f t="shared" si="4"/>
        <v>2096</v>
      </c>
      <c r="H1131" s="4" t="str">
        <f t="shared" si="5"/>
        <v>Binh thuong</v>
      </c>
    </row>
    <row r="1132" ht="14.25" customHeight="1">
      <c r="A1132" s="4" t="s">
        <v>1149</v>
      </c>
      <c r="B1132" s="4">
        <v>20513.0</v>
      </c>
      <c r="C1132" s="4" t="s">
        <v>886</v>
      </c>
      <c r="D1132" s="4" t="str">
        <f t="shared" si="1"/>
        <v>MA3</v>
      </c>
      <c r="E1132" s="4">
        <f t="shared" si="2"/>
        <v>1709.416667</v>
      </c>
      <c r="F1132" s="4">
        <f t="shared" si="3"/>
        <v>569.8055556</v>
      </c>
      <c r="G1132" s="4">
        <f t="shared" si="4"/>
        <v>1709</v>
      </c>
      <c r="H1132" s="4" t="str">
        <f t="shared" si="5"/>
        <v>Binh thuong</v>
      </c>
    </row>
    <row r="1133" ht="14.25" customHeight="1">
      <c r="A1133" s="4" t="s">
        <v>1150</v>
      </c>
      <c r="B1133" s="4">
        <v>26285.0</v>
      </c>
      <c r="C1133" s="4" t="s">
        <v>886</v>
      </c>
      <c r="D1133" s="4" t="str">
        <f t="shared" si="1"/>
        <v>MA3</v>
      </c>
      <c r="E1133" s="4">
        <f t="shared" si="2"/>
        <v>2190.416667</v>
      </c>
      <c r="F1133" s="4">
        <f t="shared" si="3"/>
        <v>730.1388889</v>
      </c>
      <c r="G1133" s="4">
        <f t="shared" si="4"/>
        <v>2190</v>
      </c>
      <c r="H1133" s="4" t="str">
        <f t="shared" si="5"/>
        <v>Binh thuong</v>
      </c>
    </row>
    <row r="1134" ht="14.25" customHeight="1">
      <c r="A1134" s="4" t="s">
        <v>1151</v>
      </c>
      <c r="B1134" s="4">
        <v>16841.0</v>
      </c>
      <c r="C1134" s="4" t="s">
        <v>886</v>
      </c>
      <c r="D1134" s="4" t="str">
        <f t="shared" si="1"/>
        <v>MA3</v>
      </c>
      <c r="E1134" s="4">
        <f t="shared" si="2"/>
        <v>1403.416667</v>
      </c>
      <c r="F1134" s="4">
        <f t="shared" si="3"/>
        <v>467.8055556</v>
      </c>
      <c r="G1134" s="4">
        <f t="shared" si="4"/>
        <v>1403</v>
      </c>
      <c r="H1134" s="4" t="str">
        <f t="shared" si="5"/>
        <v>Binh thuong</v>
      </c>
    </row>
    <row r="1135" ht="14.25" customHeight="1">
      <c r="A1135" s="4" t="s">
        <v>1152</v>
      </c>
      <c r="B1135" s="4">
        <v>35304.0</v>
      </c>
      <c r="C1135" s="4" t="s">
        <v>886</v>
      </c>
      <c r="D1135" s="4" t="str">
        <f t="shared" si="1"/>
        <v>MA3</v>
      </c>
      <c r="E1135" s="4">
        <f t="shared" si="2"/>
        <v>2942</v>
      </c>
      <c r="F1135" s="4">
        <f t="shared" si="3"/>
        <v>980.6666667</v>
      </c>
      <c r="G1135" s="4">
        <f t="shared" si="4"/>
        <v>2942</v>
      </c>
      <c r="H1135" s="4" t="str">
        <f t="shared" si="5"/>
        <v>Binh thuong</v>
      </c>
    </row>
    <row r="1136" ht="14.25" customHeight="1">
      <c r="A1136" s="4" t="s">
        <v>1153</v>
      </c>
      <c r="B1136" s="4">
        <v>30143.0</v>
      </c>
      <c r="C1136" s="4" t="s">
        <v>886</v>
      </c>
      <c r="D1136" s="4" t="str">
        <f t="shared" si="1"/>
        <v>MA3</v>
      </c>
      <c r="E1136" s="4">
        <f t="shared" si="2"/>
        <v>2511.916667</v>
      </c>
      <c r="F1136" s="4">
        <f t="shared" si="3"/>
        <v>837.3055556</v>
      </c>
      <c r="G1136" s="4">
        <f t="shared" si="4"/>
        <v>2512</v>
      </c>
      <c r="H1136" s="4" t="str">
        <f t="shared" si="5"/>
        <v>Binh thuong</v>
      </c>
    </row>
    <row r="1137" ht="14.25" customHeight="1">
      <c r="A1137" s="4" t="s">
        <v>1154</v>
      </c>
      <c r="B1137" s="4">
        <v>21472.0</v>
      </c>
      <c r="C1137" s="4" t="s">
        <v>886</v>
      </c>
      <c r="D1137" s="4" t="str">
        <f t="shared" si="1"/>
        <v>MA3</v>
      </c>
      <c r="E1137" s="4">
        <f t="shared" si="2"/>
        <v>1789.333333</v>
      </c>
      <c r="F1137" s="4">
        <f t="shared" si="3"/>
        <v>596.4444444</v>
      </c>
      <c r="G1137" s="4">
        <f t="shared" si="4"/>
        <v>1789</v>
      </c>
      <c r="H1137" s="4" t="str">
        <f t="shared" si="5"/>
        <v>Binh thuong</v>
      </c>
    </row>
    <row r="1138" ht="14.25" customHeight="1">
      <c r="A1138" s="4" t="s">
        <v>1155</v>
      </c>
      <c r="B1138" s="4">
        <v>18337.0</v>
      </c>
      <c r="C1138" s="4" t="s">
        <v>886</v>
      </c>
      <c r="D1138" s="4" t="str">
        <f t="shared" si="1"/>
        <v>MA3</v>
      </c>
      <c r="E1138" s="4">
        <f t="shared" si="2"/>
        <v>1528.083333</v>
      </c>
      <c r="F1138" s="4">
        <f t="shared" si="3"/>
        <v>509.3611111</v>
      </c>
      <c r="G1138" s="4">
        <f t="shared" si="4"/>
        <v>1528</v>
      </c>
      <c r="H1138" s="4" t="str">
        <f t="shared" si="5"/>
        <v>Binh thuong</v>
      </c>
    </row>
    <row r="1139" ht="14.25" customHeight="1">
      <c r="A1139" s="4" t="s">
        <v>1156</v>
      </c>
      <c r="B1139" s="4">
        <v>19126.0</v>
      </c>
      <c r="C1139" s="4" t="s">
        <v>886</v>
      </c>
      <c r="D1139" s="4" t="str">
        <f t="shared" si="1"/>
        <v>MA3</v>
      </c>
      <c r="E1139" s="4">
        <f t="shared" si="2"/>
        <v>1593.833333</v>
      </c>
      <c r="F1139" s="4">
        <f t="shared" si="3"/>
        <v>531.2777778</v>
      </c>
      <c r="G1139" s="4">
        <f t="shared" si="4"/>
        <v>1594</v>
      </c>
      <c r="H1139" s="4" t="str">
        <f t="shared" si="5"/>
        <v>Binh thuong</v>
      </c>
    </row>
    <row r="1140" ht="14.25" customHeight="1">
      <c r="A1140" s="4" t="s">
        <v>1157</v>
      </c>
      <c r="B1140" s="4">
        <v>16322.0</v>
      </c>
      <c r="C1140" s="4" t="s">
        <v>886</v>
      </c>
      <c r="D1140" s="4" t="str">
        <f t="shared" si="1"/>
        <v>MA3</v>
      </c>
      <c r="E1140" s="4">
        <f t="shared" si="2"/>
        <v>1360.166667</v>
      </c>
      <c r="F1140" s="4">
        <f t="shared" si="3"/>
        <v>453.3888889</v>
      </c>
      <c r="G1140" s="4">
        <f t="shared" si="4"/>
        <v>1360</v>
      </c>
      <c r="H1140" s="4" t="str">
        <f t="shared" si="5"/>
        <v>Binh thuong</v>
      </c>
    </row>
    <row r="1141" ht="14.25" customHeight="1">
      <c r="A1141" s="4" t="s">
        <v>1158</v>
      </c>
      <c r="B1141" s="4">
        <v>7482.0</v>
      </c>
      <c r="C1141" s="4" t="s">
        <v>886</v>
      </c>
      <c r="D1141" s="4" t="str">
        <f t="shared" si="1"/>
        <v>MA3</v>
      </c>
      <c r="E1141" s="4">
        <f t="shared" si="2"/>
        <v>623.5</v>
      </c>
      <c r="F1141" s="4">
        <f t="shared" si="3"/>
        <v>207.8333333</v>
      </c>
      <c r="G1141" s="4">
        <f t="shared" si="4"/>
        <v>624</v>
      </c>
      <c r="H1141" s="4" t="str">
        <f t="shared" si="5"/>
        <v>Binh thuong</v>
      </c>
    </row>
    <row r="1142" ht="14.25" customHeight="1">
      <c r="A1142" s="4" t="s">
        <v>1159</v>
      </c>
      <c r="B1142" s="4">
        <v>41479.0</v>
      </c>
      <c r="C1142" s="4" t="s">
        <v>886</v>
      </c>
      <c r="D1142" s="4" t="str">
        <f t="shared" si="1"/>
        <v>MA3</v>
      </c>
      <c r="E1142" s="4">
        <f t="shared" si="2"/>
        <v>3456.583333</v>
      </c>
      <c r="F1142" s="4">
        <f t="shared" si="3"/>
        <v>1152.194444</v>
      </c>
      <c r="G1142" s="4">
        <f t="shared" si="4"/>
        <v>3457</v>
      </c>
      <c r="H1142" s="4" t="str">
        <f t="shared" si="5"/>
        <v>Uu tien cao</v>
      </c>
    </row>
    <row r="1143" ht="14.25" customHeight="1">
      <c r="A1143" s="4" t="s">
        <v>1160</v>
      </c>
      <c r="B1143" s="4">
        <v>17378.0</v>
      </c>
      <c r="C1143" s="4" t="s">
        <v>886</v>
      </c>
      <c r="D1143" s="4" t="str">
        <f t="shared" si="1"/>
        <v>MA3</v>
      </c>
      <c r="E1143" s="4">
        <f t="shared" si="2"/>
        <v>1448.166667</v>
      </c>
      <c r="F1143" s="4">
        <f t="shared" si="3"/>
        <v>482.7222222</v>
      </c>
      <c r="G1143" s="4">
        <f t="shared" si="4"/>
        <v>1448</v>
      </c>
      <c r="H1143" s="4" t="str">
        <f t="shared" si="5"/>
        <v>Binh thuong</v>
      </c>
    </row>
    <row r="1144" ht="14.25" customHeight="1">
      <c r="A1144" s="4" t="s">
        <v>1161</v>
      </c>
      <c r="B1144" s="4">
        <v>70248.0</v>
      </c>
      <c r="C1144" s="4" t="s">
        <v>886</v>
      </c>
      <c r="D1144" s="4" t="str">
        <f t="shared" si="1"/>
        <v>MA3</v>
      </c>
      <c r="E1144" s="4">
        <f t="shared" si="2"/>
        <v>5854</v>
      </c>
      <c r="F1144" s="4">
        <f t="shared" si="3"/>
        <v>1951.333333</v>
      </c>
      <c r="G1144" s="4">
        <f t="shared" si="4"/>
        <v>5854</v>
      </c>
      <c r="H1144" s="4" t="str">
        <f t="shared" si="5"/>
        <v>Uu tien cao</v>
      </c>
    </row>
    <row r="1145" ht="14.25" customHeight="1">
      <c r="A1145" s="4" t="s">
        <v>1162</v>
      </c>
      <c r="B1145" s="4">
        <v>2064.0</v>
      </c>
      <c r="C1145" s="4" t="s">
        <v>886</v>
      </c>
      <c r="D1145" s="4" t="str">
        <f t="shared" si="1"/>
        <v>MA3</v>
      </c>
      <c r="E1145" s="4">
        <f t="shared" si="2"/>
        <v>172</v>
      </c>
      <c r="F1145" s="4">
        <f t="shared" si="3"/>
        <v>57.33333333</v>
      </c>
      <c r="G1145" s="4">
        <f t="shared" si="4"/>
        <v>172</v>
      </c>
      <c r="H1145" s="4" t="str">
        <f t="shared" si="5"/>
        <v>Binh thuong</v>
      </c>
    </row>
    <row r="1146" ht="14.25" customHeight="1">
      <c r="A1146" s="4" t="s">
        <v>1163</v>
      </c>
      <c r="B1146" s="4">
        <v>12863.0</v>
      </c>
      <c r="C1146" s="4" t="s">
        <v>886</v>
      </c>
      <c r="D1146" s="4" t="str">
        <f t="shared" si="1"/>
        <v>MA3</v>
      </c>
      <c r="E1146" s="4">
        <f t="shared" si="2"/>
        <v>1071.916667</v>
      </c>
      <c r="F1146" s="4">
        <f t="shared" si="3"/>
        <v>357.3055556</v>
      </c>
      <c r="G1146" s="4">
        <f t="shared" si="4"/>
        <v>1072</v>
      </c>
      <c r="H1146" s="4" t="str">
        <f t="shared" si="5"/>
        <v>Binh thuong</v>
      </c>
    </row>
    <row r="1147" ht="14.25" customHeight="1">
      <c r="A1147" s="4" t="s">
        <v>1164</v>
      </c>
      <c r="B1147" s="4">
        <v>6711.0</v>
      </c>
      <c r="C1147" s="4" t="s">
        <v>886</v>
      </c>
      <c r="D1147" s="4" t="str">
        <f t="shared" si="1"/>
        <v>MA3</v>
      </c>
      <c r="E1147" s="4">
        <f t="shared" si="2"/>
        <v>559.25</v>
      </c>
      <c r="F1147" s="4">
        <f t="shared" si="3"/>
        <v>186.4166667</v>
      </c>
      <c r="G1147" s="4">
        <f t="shared" si="4"/>
        <v>559</v>
      </c>
      <c r="H1147" s="4" t="str">
        <f t="shared" si="5"/>
        <v>Binh thuong</v>
      </c>
    </row>
    <row r="1148" ht="14.25" customHeight="1">
      <c r="A1148" s="4" t="s">
        <v>1165</v>
      </c>
      <c r="B1148" s="4">
        <v>3859.0</v>
      </c>
      <c r="C1148" s="4" t="s">
        <v>886</v>
      </c>
      <c r="D1148" s="4" t="str">
        <f t="shared" si="1"/>
        <v>MA3</v>
      </c>
      <c r="E1148" s="4">
        <f t="shared" si="2"/>
        <v>321.5833333</v>
      </c>
      <c r="F1148" s="4">
        <f t="shared" si="3"/>
        <v>107.1944444</v>
      </c>
      <c r="G1148" s="4">
        <f t="shared" si="4"/>
        <v>322</v>
      </c>
      <c r="H1148" s="4" t="str">
        <f t="shared" si="5"/>
        <v>Binh thuong</v>
      </c>
    </row>
    <row r="1149" ht="14.25" customHeight="1">
      <c r="A1149" s="4" t="s">
        <v>1166</v>
      </c>
      <c r="B1149" s="4">
        <v>11213.0</v>
      </c>
      <c r="C1149" s="4" t="s">
        <v>886</v>
      </c>
      <c r="D1149" s="4" t="str">
        <f t="shared" si="1"/>
        <v>MA3</v>
      </c>
      <c r="E1149" s="4">
        <f t="shared" si="2"/>
        <v>934.4166667</v>
      </c>
      <c r="F1149" s="4">
        <f t="shared" si="3"/>
        <v>311.4722222</v>
      </c>
      <c r="G1149" s="4">
        <f t="shared" si="4"/>
        <v>934</v>
      </c>
      <c r="H1149" s="4" t="str">
        <f t="shared" si="5"/>
        <v>Binh thuong</v>
      </c>
    </row>
    <row r="1150" ht="14.25" customHeight="1">
      <c r="A1150" s="4" t="s">
        <v>1167</v>
      </c>
      <c r="B1150" s="4">
        <v>4847.0</v>
      </c>
      <c r="C1150" s="4" t="s">
        <v>886</v>
      </c>
      <c r="D1150" s="4" t="str">
        <f t="shared" si="1"/>
        <v>MA3</v>
      </c>
      <c r="E1150" s="4">
        <f t="shared" si="2"/>
        <v>403.9166667</v>
      </c>
      <c r="F1150" s="4">
        <f t="shared" si="3"/>
        <v>134.6388889</v>
      </c>
      <c r="G1150" s="4">
        <f t="shared" si="4"/>
        <v>404</v>
      </c>
      <c r="H1150" s="4" t="str">
        <f t="shared" si="5"/>
        <v>Binh thuong</v>
      </c>
    </row>
    <row r="1151" ht="14.25" customHeight="1">
      <c r="A1151" s="4" t="s">
        <v>1168</v>
      </c>
      <c r="B1151" s="4">
        <v>21748.0</v>
      </c>
      <c r="C1151" s="4" t="s">
        <v>886</v>
      </c>
      <c r="D1151" s="4" t="str">
        <f t="shared" si="1"/>
        <v>MA3</v>
      </c>
      <c r="E1151" s="4">
        <f t="shared" si="2"/>
        <v>1812.333333</v>
      </c>
      <c r="F1151" s="4">
        <f t="shared" si="3"/>
        <v>604.1111111</v>
      </c>
      <c r="G1151" s="4">
        <f t="shared" si="4"/>
        <v>1812</v>
      </c>
      <c r="H1151" s="4" t="str">
        <f t="shared" si="5"/>
        <v>Binh thuong</v>
      </c>
    </row>
    <row r="1152" ht="14.25" customHeight="1">
      <c r="A1152" s="4" t="s">
        <v>1169</v>
      </c>
      <c r="B1152" s="4">
        <v>21846.0</v>
      </c>
      <c r="C1152" s="4" t="s">
        <v>886</v>
      </c>
      <c r="D1152" s="4" t="str">
        <f t="shared" si="1"/>
        <v>MA3</v>
      </c>
      <c r="E1152" s="4">
        <f t="shared" si="2"/>
        <v>1820.5</v>
      </c>
      <c r="F1152" s="4">
        <f t="shared" si="3"/>
        <v>606.8333333</v>
      </c>
      <c r="G1152" s="4">
        <f t="shared" si="4"/>
        <v>1821</v>
      </c>
      <c r="H1152" s="4" t="str">
        <f t="shared" si="5"/>
        <v>Binh thuong</v>
      </c>
    </row>
    <row r="1153" ht="14.25" customHeight="1">
      <c r="A1153" s="4" t="s">
        <v>1170</v>
      </c>
      <c r="B1153" s="4">
        <v>22656.0</v>
      </c>
      <c r="C1153" s="4" t="s">
        <v>886</v>
      </c>
      <c r="D1153" s="4" t="str">
        <f t="shared" si="1"/>
        <v>MA3</v>
      </c>
      <c r="E1153" s="4">
        <f t="shared" si="2"/>
        <v>1888</v>
      </c>
      <c r="F1153" s="4">
        <f t="shared" si="3"/>
        <v>629.3333333</v>
      </c>
      <c r="G1153" s="4">
        <f t="shared" si="4"/>
        <v>1888</v>
      </c>
      <c r="H1153" s="4" t="str">
        <f t="shared" si="5"/>
        <v>Binh thuong</v>
      </c>
    </row>
    <row r="1154" ht="14.25" customHeight="1">
      <c r="A1154" s="4" t="s">
        <v>1171</v>
      </c>
      <c r="B1154" s="4">
        <v>24253.0</v>
      </c>
      <c r="C1154" s="4" t="s">
        <v>886</v>
      </c>
      <c r="D1154" s="4" t="str">
        <f t="shared" si="1"/>
        <v>MA3</v>
      </c>
      <c r="E1154" s="4">
        <f t="shared" si="2"/>
        <v>2021.083333</v>
      </c>
      <c r="F1154" s="4">
        <f t="shared" si="3"/>
        <v>673.6944444</v>
      </c>
      <c r="G1154" s="4">
        <f t="shared" si="4"/>
        <v>2021</v>
      </c>
      <c r="H1154" s="4" t="str">
        <f t="shared" si="5"/>
        <v>Binh thuong</v>
      </c>
    </row>
    <row r="1155" ht="14.25" customHeight="1">
      <c r="A1155" s="4" t="s">
        <v>1172</v>
      </c>
      <c r="B1155" s="4">
        <v>2960.0</v>
      </c>
      <c r="C1155" s="4" t="s">
        <v>886</v>
      </c>
      <c r="D1155" s="4" t="str">
        <f t="shared" si="1"/>
        <v>MA3</v>
      </c>
      <c r="E1155" s="4">
        <f t="shared" si="2"/>
        <v>246.6666667</v>
      </c>
      <c r="F1155" s="4">
        <f t="shared" si="3"/>
        <v>82.22222222</v>
      </c>
      <c r="G1155" s="4">
        <f t="shared" si="4"/>
        <v>247</v>
      </c>
      <c r="H1155" s="4" t="str">
        <f t="shared" si="5"/>
        <v>Binh thuong</v>
      </c>
    </row>
    <row r="1156" ht="14.25" customHeight="1">
      <c r="A1156" s="4" t="s">
        <v>1173</v>
      </c>
      <c r="B1156" s="4">
        <v>14745.0</v>
      </c>
      <c r="C1156" s="4" t="s">
        <v>886</v>
      </c>
      <c r="D1156" s="4" t="str">
        <f t="shared" si="1"/>
        <v>MA3</v>
      </c>
      <c r="E1156" s="4">
        <f t="shared" si="2"/>
        <v>1228.75</v>
      </c>
      <c r="F1156" s="4">
        <f t="shared" si="3"/>
        <v>409.5833333</v>
      </c>
      <c r="G1156" s="4">
        <f t="shared" si="4"/>
        <v>1229</v>
      </c>
      <c r="H1156" s="4" t="str">
        <f t="shared" si="5"/>
        <v>Binh thuong</v>
      </c>
    </row>
    <row r="1157" ht="14.25" customHeight="1">
      <c r="A1157" s="4" t="s">
        <v>1174</v>
      </c>
      <c r="B1157" s="4">
        <v>9297.0</v>
      </c>
      <c r="C1157" s="4" t="s">
        <v>886</v>
      </c>
      <c r="D1157" s="4" t="str">
        <f t="shared" si="1"/>
        <v>MA3</v>
      </c>
      <c r="E1157" s="4">
        <f t="shared" si="2"/>
        <v>774.75</v>
      </c>
      <c r="F1157" s="4">
        <f t="shared" si="3"/>
        <v>258.25</v>
      </c>
      <c r="G1157" s="4">
        <f t="shared" si="4"/>
        <v>775</v>
      </c>
      <c r="H1157" s="4" t="str">
        <f t="shared" si="5"/>
        <v>Binh thuong</v>
      </c>
    </row>
    <row r="1158" ht="14.25" customHeight="1">
      <c r="A1158" s="4" t="s">
        <v>1175</v>
      </c>
      <c r="B1158" s="4">
        <v>15691.0</v>
      </c>
      <c r="C1158" s="4" t="s">
        <v>886</v>
      </c>
      <c r="D1158" s="4" t="str">
        <f t="shared" si="1"/>
        <v>MA3</v>
      </c>
      <c r="E1158" s="4">
        <f t="shared" si="2"/>
        <v>1307.583333</v>
      </c>
      <c r="F1158" s="4">
        <f t="shared" si="3"/>
        <v>435.8611111</v>
      </c>
      <c r="G1158" s="4">
        <f t="shared" si="4"/>
        <v>1308</v>
      </c>
      <c r="H1158" s="4" t="str">
        <f t="shared" si="5"/>
        <v>Binh thuong</v>
      </c>
    </row>
    <row r="1159" ht="14.25" customHeight="1">
      <c r="A1159" s="4" t="s">
        <v>1176</v>
      </c>
      <c r="B1159" s="4">
        <v>2820.0</v>
      </c>
      <c r="C1159" s="4" t="s">
        <v>886</v>
      </c>
      <c r="D1159" s="4" t="str">
        <f t="shared" si="1"/>
        <v>MA3</v>
      </c>
      <c r="E1159" s="4">
        <f t="shared" si="2"/>
        <v>235</v>
      </c>
      <c r="F1159" s="4">
        <f t="shared" si="3"/>
        <v>78.33333333</v>
      </c>
      <c r="G1159" s="4">
        <f t="shared" si="4"/>
        <v>235</v>
      </c>
      <c r="H1159" s="4" t="str">
        <f t="shared" si="5"/>
        <v>Binh thuong</v>
      </c>
    </row>
    <row r="1160" ht="14.25" customHeight="1">
      <c r="A1160" s="4" t="s">
        <v>1177</v>
      </c>
      <c r="B1160" s="4">
        <v>11768.0</v>
      </c>
      <c r="C1160" s="4" t="s">
        <v>886</v>
      </c>
      <c r="D1160" s="4" t="str">
        <f t="shared" si="1"/>
        <v>MA3</v>
      </c>
      <c r="E1160" s="4">
        <f t="shared" si="2"/>
        <v>980.6666667</v>
      </c>
      <c r="F1160" s="4">
        <f t="shared" si="3"/>
        <v>326.8888889</v>
      </c>
      <c r="G1160" s="4">
        <f t="shared" si="4"/>
        <v>981</v>
      </c>
      <c r="H1160" s="4" t="str">
        <f t="shared" si="5"/>
        <v>Binh thuong</v>
      </c>
    </row>
    <row r="1161" ht="14.25" customHeight="1">
      <c r="A1161" s="4" t="s">
        <v>1178</v>
      </c>
      <c r="B1161" s="4">
        <v>3185.0</v>
      </c>
      <c r="C1161" s="4" t="s">
        <v>886</v>
      </c>
      <c r="D1161" s="4" t="str">
        <f t="shared" si="1"/>
        <v>MA3</v>
      </c>
      <c r="E1161" s="4">
        <f t="shared" si="2"/>
        <v>265.4166667</v>
      </c>
      <c r="F1161" s="4">
        <f t="shared" si="3"/>
        <v>88.47222222</v>
      </c>
      <c r="G1161" s="4">
        <f t="shared" si="4"/>
        <v>265</v>
      </c>
      <c r="H1161" s="4" t="str">
        <f t="shared" si="5"/>
        <v>Binh thuong</v>
      </c>
    </row>
    <row r="1162" ht="14.25" customHeight="1">
      <c r="A1162" s="4" t="s">
        <v>1179</v>
      </c>
      <c r="B1162" s="4">
        <v>12488.0</v>
      </c>
      <c r="C1162" s="4" t="s">
        <v>886</v>
      </c>
      <c r="D1162" s="4" t="str">
        <f t="shared" si="1"/>
        <v>MA3</v>
      </c>
      <c r="E1162" s="4">
        <f t="shared" si="2"/>
        <v>1040.666667</v>
      </c>
      <c r="F1162" s="4">
        <f t="shared" si="3"/>
        <v>346.8888889</v>
      </c>
      <c r="G1162" s="4">
        <f t="shared" si="4"/>
        <v>1041</v>
      </c>
      <c r="H1162" s="4" t="str">
        <f t="shared" si="5"/>
        <v>Binh thuong</v>
      </c>
    </row>
    <row r="1163" ht="14.25" customHeight="1">
      <c r="A1163" s="4" t="s">
        <v>1180</v>
      </c>
      <c r="B1163" s="4">
        <v>18040.0</v>
      </c>
      <c r="C1163" s="4" t="s">
        <v>886</v>
      </c>
      <c r="D1163" s="4" t="str">
        <f t="shared" si="1"/>
        <v>MA3</v>
      </c>
      <c r="E1163" s="4">
        <f t="shared" si="2"/>
        <v>1503.333333</v>
      </c>
      <c r="F1163" s="4">
        <f t="shared" si="3"/>
        <v>501.1111111</v>
      </c>
      <c r="G1163" s="4">
        <f t="shared" si="4"/>
        <v>1503</v>
      </c>
      <c r="H1163" s="4" t="str">
        <f t="shared" si="5"/>
        <v>Binh thuong</v>
      </c>
    </row>
    <row r="1164" ht="14.25" customHeight="1">
      <c r="A1164" s="4" t="s">
        <v>1181</v>
      </c>
      <c r="B1164" s="4">
        <v>16773.0</v>
      </c>
      <c r="C1164" s="4" t="s">
        <v>886</v>
      </c>
      <c r="D1164" s="4" t="str">
        <f t="shared" si="1"/>
        <v>MA3</v>
      </c>
      <c r="E1164" s="4">
        <f t="shared" si="2"/>
        <v>1397.75</v>
      </c>
      <c r="F1164" s="4">
        <f t="shared" si="3"/>
        <v>465.9166667</v>
      </c>
      <c r="G1164" s="4">
        <f t="shared" si="4"/>
        <v>1398</v>
      </c>
      <c r="H1164" s="4" t="str">
        <f t="shared" si="5"/>
        <v>Binh thuong</v>
      </c>
    </row>
    <row r="1165" ht="14.25" customHeight="1">
      <c r="A1165" s="4" t="s">
        <v>1182</v>
      </c>
      <c r="B1165" s="4">
        <v>19551.0</v>
      </c>
      <c r="C1165" s="4" t="s">
        <v>886</v>
      </c>
      <c r="D1165" s="4" t="str">
        <f t="shared" si="1"/>
        <v>MA3</v>
      </c>
      <c r="E1165" s="4">
        <f t="shared" si="2"/>
        <v>1629.25</v>
      </c>
      <c r="F1165" s="4">
        <f t="shared" si="3"/>
        <v>543.0833333</v>
      </c>
      <c r="G1165" s="4">
        <f t="shared" si="4"/>
        <v>1629</v>
      </c>
      <c r="H1165" s="4" t="str">
        <f t="shared" si="5"/>
        <v>Binh thuong</v>
      </c>
    </row>
    <row r="1166" ht="14.25" customHeight="1">
      <c r="A1166" s="4" t="s">
        <v>1183</v>
      </c>
      <c r="B1166" s="4">
        <v>10559.0</v>
      </c>
      <c r="C1166" s="4" t="s">
        <v>886</v>
      </c>
      <c r="D1166" s="4" t="str">
        <f t="shared" si="1"/>
        <v>MA3</v>
      </c>
      <c r="E1166" s="4">
        <f t="shared" si="2"/>
        <v>879.9166667</v>
      </c>
      <c r="F1166" s="4">
        <f t="shared" si="3"/>
        <v>293.3055556</v>
      </c>
      <c r="G1166" s="4">
        <f t="shared" si="4"/>
        <v>880</v>
      </c>
      <c r="H1166" s="4" t="str">
        <f t="shared" si="5"/>
        <v>Binh thuong</v>
      </c>
    </row>
    <row r="1167" ht="14.25" customHeight="1">
      <c r="A1167" s="4" t="s">
        <v>1184</v>
      </c>
      <c r="B1167" s="4">
        <v>8289.0</v>
      </c>
      <c r="C1167" s="4" t="s">
        <v>886</v>
      </c>
      <c r="D1167" s="4" t="str">
        <f t="shared" si="1"/>
        <v>MA3</v>
      </c>
      <c r="E1167" s="4">
        <f t="shared" si="2"/>
        <v>690.75</v>
      </c>
      <c r="F1167" s="4">
        <f t="shared" si="3"/>
        <v>230.25</v>
      </c>
      <c r="G1167" s="4">
        <f t="shared" si="4"/>
        <v>691</v>
      </c>
      <c r="H1167" s="4" t="str">
        <f t="shared" si="5"/>
        <v>Binh thuong</v>
      </c>
    </row>
    <row r="1168" ht="14.25" customHeight="1">
      <c r="A1168" s="4" t="s">
        <v>1185</v>
      </c>
      <c r="B1168" s="4">
        <v>46876.0</v>
      </c>
      <c r="C1168" s="4" t="s">
        <v>886</v>
      </c>
      <c r="D1168" s="4" t="str">
        <f t="shared" si="1"/>
        <v>MA3</v>
      </c>
      <c r="E1168" s="4">
        <f t="shared" si="2"/>
        <v>3906.333333</v>
      </c>
      <c r="F1168" s="4">
        <f t="shared" si="3"/>
        <v>1302.111111</v>
      </c>
      <c r="G1168" s="4">
        <f t="shared" si="4"/>
        <v>3906</v>
      </c>
      <c r="H1168" s="4" t="str">
        <f t="shared" si="5"/>
        <v>Uu tien cao</v>
      </c>
    </row>
    <row r="1169" ht="14.25" customHeight="1">
      <c r="A1169" s="4" t="s">
        <v>1186</v>
      </c>
      <c r="B1169" s="4">
        <v>45549.0</v>
      </c>
      <c r="C1169" s="4" t="s">
        <v>886</v>
      </c>
      <c r="D1169" s="4" t="str">
        <f t="shared" si="1"/>
        <v>MA3</v>
      </c>
      <c r="E1169" s="4">
        <f t="shared" si="2"/>
        <v>3795.75</v>
      </c>
      <c r="F1169" s="4">
        <f t="shared" si="3"/>
        <v>1265.25</v>
      </c>
      <c r="G1169" s="4">
        <f t="shared" si="4"/>
        <v>3796</v>
      </c>
      <c r="H1169" s="4" t="str">
        <f t="shared" si="5"/>
        <v>Uu tien cao</v>
      </c>
    </row>
    <row r="1170" ht="14.25" customHeight="1">
      <c r="A1170" s="4" t="s">
        <v>1187</v>
      </c>
      <c r="B1170" s="4">
        <v>65664.0</v>
      </c>
      <c r="C1170" s="4" t="s">
        <v>886</v>
      </c>
      <c r="D1170" s="4" t="str">
        <f t="shared" si="1"/>
        <v>MA3</v>
      </c>
      <c r="E1170" s="4">
        <f t="shared" si="2"/>
        <v>5472</v>
      </c>
      <c r="F1170" s="4">
        <f t="shared" si="3"/>
        <v>1824</v>
      </c>
      <c r="G1170" s="4">
        <f t="shared" si="4"/>
        <v>5472</v>
      </c>
      <c r="H1170" s="4" t="str">
        <f t="shared" si="5"/>
        <v>Uu tien cao</v>
      </c>
    </row>
    <row r="1171" ht="14.25" customHeight="1">
      <c r="A1171" s="4" t="s">
        <v>1188</v>
      </c>
      <c r="B1171" s="4">
        <v>105441.0</v>
      </c>
      <c r="C1171" s="4" t="s">
        <v>886</v>
      </c>
      <c r="D1171" s="4" t="str">
        <f t="shared" si="1"/>
        <v>MA3</v>
      </c>
      <c r="E1171" s="4">
        <f t="shared" si="2"/>
        <v>8786.75</v>
      </c>
      <c r="F1171" s="4">
        <f t="shared" si="3"/>
        <v>2928.916667</v>
      </c>
      <c r="G1171" s="4">
        <f t="shared" si="4"/>
        <v>8787</v>
      </c>
      <c r="H1171" s="4" t="str">
        <f t="shared" si="5"/>
        <v>Uu tien cao</v>
      </c>
    </row>
    <row r="1172" ht="14.25" customHeight="1">
      <c r="A1172" s="4" t="s">
        <v>1189</v>
      </c>
      <c r="B1172" s="4">
        <v>43437.0</v>
      </c>
      <c r="C1172" s="4" t="s">
        <v>886</v>
      </c>
      <c r="D1172" s="4" t="str">
        <f t="shared" si="1"/>
        <v>MA3</v>
      </c>
      <c r="E1172" s="4">
        <f t="shared" si="2"/>
        <v>3619.75</v>
      </c>
      <c r="F1172" s="4">
        <f t="shared" si="3"/>
        <v>1206.583333</v>
      </c>
      <c r="G1172" s="4">
        <f t="shared" si="4"/>
        <v>3620</v>
      </c>
      <c r="H1172" s="4" t="str">
        <f t="shared" si="5"/>
        <v>Uu tien cao</v>
      </c>
    </row>
    <row r="1173" ht="14.25" customHeight="1">
      <c r="A1173" s="4" t="s">
        <v>1190</v>
      </c>
      <c r="B1173" s="4">
        <v>58758.0</v>
      </c>
      <c r="C1173" s="4" t="s">
        <v>886</v>
      </c>
      <c r="D1173" s="4" t="str">
        <f t="shared" si="1"/>
        <v>MA3</v>
      </c>
      <c r="E1173" s="4">
        <f t="shared" si="2"/>
        <v>4896.5</v>
      </c>
      <c r="F1173" s="4">
        <f t="shared" si="3"/>
        <v>1632.166667</v>
      </c>
      <c r="G1173" s="4">
        <f t="shared" si="4"/>
        <v>4897</v>
      </c>
      <c r="H1173" s="4" t="str">
        <f t="shared" si="5"/>
        <v>Uu tien cao</v>
      </c>
    </row>
    <row r="1174" ht="14.25" customHeight="1">
      <c r="A1174" s="4" t="s">
        <v>1191</v>
      </c>
      <c r="B1174" s="4">
        <v>61396.0</v>
      </c>
      <c r="C1174" s="4" t="s">
        <v>886</v>
      </c>
      <c r="D1174" s="4" t="str">
        <f t="shared" si="1"/>
        <v>MA3</v>
      </c>
      <c r="E1174" s="4">
        <f t="shared" si="2"/>
        <v>5116.333333</v>
      </c>
      <c r="F1174" s="4">
        <f t="shared" si="3"/>
        <v>1705.444444</v>
      </c>
      <c r="G1174" s="4">
        <f t="shared" si="4"/>
        <v>5116</v>
      </c>
      <c r="H1174" s="4" t="str">
        <f t="shared" si="5"/>
        <v>Uu tien cao</v>
      </c>
    </row>
    <row r="1175" ht="14.25" customHeight="1">
      <c r="A1175" s="4" t="s">
        <v>1192</v>
      </c>
      <c r="B1175" s="4">
        <v>69091.0</v>
      </c>
      <c r="C1175" s="4" t="s">
        <v>886</v>
      </c>
      <c r="D1175" s="4" t="str">
        <f t="shared" si="1"/>
        <v>MA3</v>
      </c>
      <c r="E1175" s="4">
        <f t="shared" si="2"/>
        <v>5757.583333</v>
      </c>
      <c r="F1175" s="4">
        <f t="shared" si="3"/>
        <v>1919.194444</v>
      </c>
      <c r="G1175" s="4">
        <f t="shared" si="4"/>
        <v>5758</v>
      </c>
      <c r="H1175" s="4" t="str">
        <f t="shared" si="5"/>
        <v>Uu tien cao</v>
      </c>
    </row>
    <row r="1176" ht="14.25" customHeight="1">
      <c r="A1176" s="4" t="s">
        <v>1193</v>
      </c>
      <c r="B1176" s="4">
        <v>45862.0</v>
      </c>
      <c r="C1176" s="4" t="s">
        <v>886</v>
      </c>
      <c r="D1176" s="4" t="str">
        <f t="shared" si="1"/>
        <v>MA3</v>
      </c>
      <c r="E1176" s="4">
        <f t="shared" si="2"/>
        <v>3821.833333</v>
      </c>
      <c r="F1176" s="4">
        <f t="shared" si="3"/>
        <v>1273.944444</v>
      </c>
      <c r="G1176" s="4">
        <f t="shared" si="4"/>
        <v>3822</v>
      </c>
      <c r="H1176" s="4" t="str">
        <f t="shared" si="5"/>
        <v>Uu tien cao</v>
      </c>
    </row>
    <row r="1177" ht="14.25" customHeight="1">
      <c r="A1177" s="4" t="s">
        <v>1194</v>
      </c>
      <c r="B1177" s="4">
        <v>93164.0</v>
      </c>
      <c r="C1177" s="4" t="s">
        <v>886</v>
      </c>
      <c r="D1177" s="4" t="str">
        <f t="shared" si="1"/>
        <v>MA3</v>
      </c>
      <c r="E1177" s="4">
        <f t="shared" si="2"/>
        <v>7763.666667</v>
      </c>
      <c r="F1177" s="4">
        <f t="shared" si="3"/>
        <v>2587.888889</v>
      </c>
      <c r="G1177" s="4">
        <f t="shared" si="4"/>
        <v>7764</v>
      </c>
      <c r="H1177" s="4" t="str">
        <f t="shared" si="5"/>
        <v>Uu tien cao</v>
      </c>
    </row>
    <row r="1178" ht="14.25" customHeight="1">
      <c r="A1178" s="4" t="s">
        <v>1195</v>
      </c>
      <c r="B1178" s="4">
        <v>50386.0</v>
      </c>
      <c r="C1178" s="4" t="s">
        <v>886</v>
      </c>
      <c r="D1178" s="4" t="str">
        <f t="shared" si="1"/>
        <v>MA3</v>
      </c>
      <c r="E1178" s="4">
        <f t="shared" si="2"/>
        <v>4198.833333</v>
      </c>
      <c r="F1178" s="4">
        <f t="shared" si="3"/>
        <v>1399.611111</v>
      </c>
      <c r="G1178" s="4">
        <f t="shared" si="4"/>
        <v>4199</v>
      </c>
      <c r="H1178" s="4" t="str">
        <f t="shared" si="5"/>
        <v>Uu tien cao</v>
      </c>
    </row>
    <row r="1179" ht="14.25" customHeight="1">
      <c r="A1179" s="4" t="s">
        <v>1196</v>
      </c>
      <c r="B1179" s="4">
        <v>26213.0</v>
      </c>
      <c r="C1179" s="4" t="s">
        <v>886</v>
      </c>
      <c r="D1179" s="4" t="str">
        <f t="shared" si="1"/>
        <v>MA3</v>
      </c>
      <c r="E1179" s="4">
        <f t="shared" si="2"/>
        <v>2184.416667</v>
      </c>
      <c r="F1179" s="4">
        <f t="shared" si="3"/>
        <v>728.1388889</v>
      </c>
      <c r="G1179" s="4">
        <f t="shared" si="4"/>
        <v>2184</v>
      </c>
      <c r="H1179" s="4" t="str">
        <f t="shared" si="5"/>
        <v>Binh thuong</v>
      </c>
    </row>
    <row r="1180" ht="14.25" customHeight="1">
      <c r="A1180" s="4" t="s">
        <v>1197</v>
      </c>
      <c r="B1180" s="4">
        <v>76642.0</v>
      </c>
      <c r="C1180" s="4" t="s">
        <v>886</v>
      </c>
      <c r="D1180" s="4" t="str">
        <f t="shared" si="1"/>
        <v>MA3</v>
      </c>
      <c r="E1180" s="4">
        <f t="shared" si="2"/>
        <v>6386.833333</v>
      </c>
      <c r="F1180" s="4">
        <f t="shared" si="3"/>
        <v>2128.944444</v>
      </c>
      <c r="G1180" s="4">
        <f t="shared" si="4"/>
        <v>6387</v>
      </c>
      <c r="H1180" s="4" t="str">
        <f t="shared" si="5"/>
        <v>Uu tien cao</v>
      </c>
    </row>
    <row r="1181" ht="14.25" customHeight="1">
      <c r="A1181" s="4" t="s">
        <v>1198</v>
      </c>
      <c r="B1181" s="4">
        <v>27151.0</v>
      </c>
      <c r="C1181" s="4" t="s">
        <v>886</v>
      </c>
      <c r="D1181" s="4" t="str">
        <f t="shared" si="1"/>
        <v>MA3</v>
      </c>
      <c r="E1181" s="4">
        <f t="shared" si="2"/>
        <v>2262.583333</v>
      </c>
      <c r="F1181" s="4">
        <f t="shared" si="3"/>
        <v>754.1944444</v>
      </c>
      <c r="G1181" s="4">
        <f t="shared" si="4"/>
        <v>2263</v>
      </c>
      <c r="H1181" s="4" t="str">
        <f t="shared" si="5"/>
        <v>Binh thuong</v>
      </c>
    </row>
    <row r="1182" ht="14.25" customHeight="1">
      <c r="A1182" s="4" t="s">
        <v>1199</v>
      </c>
      <c r="B1182" s="4">
        <v>37329.0</v>
      </c>
      <c r="C1182" s="4" t="s">
        <v>886</v>
      </c>
      <c r="D1182" s="4" t="str">
        <f t="shared" si="1"/>
        <v>MA3</v>
      </c>
      <c r="E1182" s="4">
        <f t="shared" si="2"/>
        <v>3110.75</v>
      </c>
      <c r="F1182" s="4">
        <f t="shared" si="3"/>
        <v>1036.916667</v>
      </c>
      <c r="G1182" s="4">
        <f t="shared" si="4"/>
        <v>3111</v>
      </c>
      <c r="H1182" s="4" t="str">
        <f t="shared" si="5"/>
        <v>Binh thuong</v>
      </c>
    </row>
    <row r="1183" ht="14.25" customHeight="1">
      <c r="A1183" s="4" t="s">
        <v>1200</v>
      </c>
      <c r="B1183" s="4">
        <v>27232.0</v>
      </c>
      <c r="C1183" s="4" t="s">
        <v>886</v>
      </c>
      <c r="D1183" s="4" t="str">
        <f t="shared" si="1"/>
        <v>MA3</v>
      </c>
      <c r="E1183" s="4">
        <f t="shared" si="2"/>
        <v>2269.333333</v>
      </c>
      <c r="F1183" s="4">
        <f t="shared" si="3"/>
        <v>756.4444444</v>
      </c>
      <c r="G1183" s="4">
        <f t="shared" si="4"/>
        <v>2269</v>
      </c>
      <c r="H1183" s="4" t="str">
        <f t="shared" si="5"/>
        <v>Binh thuong</v>
      </c>
    </row>
    <row r="1184" ht="14.25" customHeight="1">
      <c r="A1184" s="4" t="s">
        <v>1201</v>
      </c>
      <c r="B1184" s="4">
        <v>244008.0</v>
      </c>
      <c r="C1184" s="4" t="s">
        <v>886</v>
      </c>
      <c r="D1184" s="4" t="str">
        <f t="shared" si="1"/>
        <v>MA3</v>
      </c>
      <c r="E1184" s="4">
        <f t="shared" si="2"/>
        <v>20334</v>
      </c>
      <c r="F1184" s="4">
        <f t="shared" si="3"/>
        <v>6778</v>
      </c>
      <c r="G1184" s="4">
        <f t="shared" si="4"/>
        <v>20334</v>
      </c>
      <c r="H1184" s="4" t="str">
        <f t="shared" si="5"/>
        <v>Uu tien cao</v>
      </c>
    </row>
    <row r="1185" ht="14.25" customHeight="1">
      <c r="A1185" s="4" t="s">
        <v>1202</v>
      </c>
      <c r="B1185" s="4">
        <v>19076.0</v>
      </c>
      <c r="C1185" s="4" t="s">
        <v>886</v>
      </c>
      <c r="D1185" s="4" t="str">
        <f t="shared" si="1"/>
        <v>MA3</v>
      </c>
      <c r="E1185" s="4">
        <f t="shared" si="2"/>
        <v>1589.666667</v>
      </c>
      <c r="F1185" s="4">
        <f t="shared" si="3"/>
        <v>529.8888889</v>
      </c>
      <c r="G1185" s="4">
        <f t="shared" si="4"/>
        <v>1590</v>
      </c>
      <c r="H1185" s="4" t="str">
        <f t="shared" si="5"/>
        <v>Binh thuong</v>
      </c>
    </row>
    <row r="1186" ht="14.25" customHeight="1">
      <c r="A1186" s="4" t="s">
        <v>1203</v>
      </c>
      <c r="B1186" s="4">
        <v>154506.0</v>
      </c>
      <c r="C1186" s="4" t="s">
        <v>886</v>
      </c>
      <c r="D1186" s="4" t="str">
        <f t="shared" si="1"/>
        <v>MA3</v>
      </c>
      <c r="E1186" s="4">
        <f t="shared" si="2"/>
        <v>12875.5</v>
      </c>
      <c r="F1186" s="4">
        <f t="shared" si="3"/>
        <v>4291.833333</v>
      </c>
      <c r="G1186" s="4">
        <f t="shared" si="4"/>
        <v>12876</v>
      </c>
      <c r="H1186" s="4" t="str">
        <f t="shared" si="5"/>
        <v>Uu tien cao</v>
      </c>
    </row>
    <row r="1187" ht="14.25" customHeight="1">
      <c r="A1187" s="4" t="s">
        <v>1204</v>
      </c>
      <c r="B1187" s="4">
        <v>154070.0</v>
      </c>
      <c r="C1187" s="4" t="s">
        <v>886</v>
      </c>
      <c r="D1187" s="4" t="str">
        <f t="shared" si="1"/>
        <v>MA3</v>
      </c>
      <c r="E1187" s="4">
        <f t="shared" si="2"/>
        <v>12839.16667</v>
      </c>
      <c r="F1187" s="4">
        <f t="shared" si="3"/>
        <v>4279.722222</v>
      </c>
      <c r="G1187" s="4">
        <f t="shared" si="4"/>
        <v>12839</v>
      </c>
      <c r="H1187" s="4" t="str">
        <f t="shared" si="5"/>
        <v>Uu tien cao</v>
      </c>
    </row>
    <row r="1188" ht="14.25" customHeight="1">
      <c r="A1188" s="4" t="s">
        <v>1205</v>
      </c>
      <c r="B1188" s="4">
        <v>6169.0</v>
      </c>
      <c r="C1188" s="4" t="s">
        <v>886</v>
      </c>
      <c r="D1188" s="4" t="str">
        <f t="shared" si="1"/>
        <v>MA3</v>
      </c>
      <c r="E1188" s="4">
        <f t="shared" si="2"/>
        <v>514.0833333</v>
      </c>
      <c r="F1188" s="4">
        <f t="shared" si="3"/>
        <v>171.3611111</v>
      </c>
      <c r="G1188" s="4">
        <f t="shared" si="4"/>
        <v>514</v>
      </c>
      <c r="H1188" s="4" t="str">
        <f t="shared" si="5"/>
        <v>Binh thuong</v>
      </c>
    </row>
    <row r="1189" ht="14.25" customHeight="1">
      <c r="A1189" s="4" t="s">
        <v>1206</v>
      </c>
      <c r="B1189" s="4">
        <v>15390.0</v>
      </c>
      <c r="C1189" s="4" t="s">
        <v>886</v>
      </c>
      <c r="D1189" s="4" t="str">
        <f t="shared" si="1"/>
        <v>MA3</v>
      </c>
      <c r="E1189" s="4">
        <f t="shared" si="2"/>
        <v>1282.5</v>
      </c>
      <c r="F1189" s="4">
        <f t="shared" si="3"/>
        <v>427.5</v>
      </c>
      <c r="G1189" s="4">
        <f t="shared" si="4"/>
        <v>1283</v>
      </c>
      <c r="H1189" s="4" t="str">
        <f t="shared" si="5"/>
        <v>Binh thuong</v>
      </c>
    </row>
    <row r="1190" ht="14.25" customHeight="1">
      <c r="A1190" s="4" t="s">
        <v>1207</v>
      </c>
      <c r="B1190" s="4">
        <v>83896.0</v>
      </c>
      <c r="C1190" s="4" t="s">
        <v>886</v>
      </c>
      <c r="D1190" s="4" t="str">
        <f t="shared" si="1"/>
        <v>MA3</v>
      </c>
      <c r="E1190" s="4">
        <f t="shared" si="2"/>
        <v>6991.333333</v>
      </c>
      <c r="F1190" s="4">
        <f t="shared" si="3"/>
        <v>2330.444444</v>
      </c>
      <c r="G1190" s="4">
        <f t="shared" si="4"/>
        <v>6991</v>
      </c>
      <c r="H1190" s="4" t="str">
        <f t="shared" si="5"/>
        <v>Uu tien cao</v>
      </c>
    </row>
    <row r="1191" ht="14.25" customHeight="1">
      <c r="A1191" s="4" t="s">
        <v>1208</v>
      </c>
      <c r="B1191" s="4">
        <v>5140.0</v>
      </c>
      <c r="C1191" s="4" t="s">
        <v>886</v>
      </c>
      <c r="D1191" s="4" t="str">
        <f t="shared" si="1"/>
        <v>MA3</v>
      </c>
      <c r="E1191" s="4">
        <f t="shared" si="2"/>
        <v>428.3333333</v>
      </c>
      <c r="F1191" s="4">
        <f t="shared" si="3"/>
        <v>142.7777778</v>
      </c>
      <c r="G1191" s="4">
        <f t="shared" si="4"/>
        <v>428</v>
      </c>
      <c r="H1191" s="4" t="str">
        <f t="shared" si="5"/>
        <v>Binh thuong</v>
      </c>
    </row>
    <row r="1192" ht="14.25" customHeight="1">
      <c r="A1192" s="4" t="s">
        <v>1209</v>
      </c>
      <c r="B1192" s="4">
        <v>15035.0</v>
      </c>
      <c r="C1192" s="4" t="s">
        <v>886</v>
      </c>
      <c r="D1192" s="4" t="str">
        <f t="shared" si="1"/>
        <v>MA3</v>
      </c>
      <c r="E1192" s="4">
        <f t="shared" si="2"/>
        <v>1252.916667</v>
      </c>
      <c r="F1192" s="4">
        <f t="shared" si="3"/>
        <v>417.6388889</v>
      </c>
      <c r="G1192" s="4">
        <f t="shared" si="4"/>
        <v>1253</v>
      </c>
      <c r="H1192" s="4" t="str">
        <f t="shared" si="5"/>
        <v>Binh thuong</v>
      </c>
    </row>
    <row r="1193" ht="14.25" customHeight="1">
      <c r="A1193" s="4" t="s">
        <v>1210</v>
      </c>
      <c r="B1193" s="4">
        <v>74691.0</v>
      </c>
      <c r="C1193" s="4" t="s">
        <v>886</v>
      </c>
      <c r="D1193" s="4" t="str">
        <f t="shared" si="1"/>
        <v>MA3</v>
      </c>
      <c r="E1193" s="4">
        <f t="shared" si="2"/>
        <v>6224.25</v>
      </c>
      <c r="F1193" s="4">
        <f t="shared" si="3"/>
        <v>2074.75</v>
      </c>
      <c r="G1193" s="4">
        <f t="shared" si="4"/>
        <v>6224</v>
      </c>
      <c r="H1193" s="4" t="str">
        <f t="shared" si="5"/>
        <v>Uu tien cao</v>
      </c>
    </row>
    <row r="1194" ht="14.25" customHeight="1">
      <c r="A1194" s="4" t="s">
        <v>1211</v>
      </c>
      <c r="B1194" s="4">
        <v>9371.0</v>
      </c>
      <c r="C1194" s="4" t="s">
        <v>886</v>
      </c>
      <c r="D1194" s="4" t="str">
        <f t="shared" si="1"/>
        <v>MA3</v>
      </c>
      <c r="E1194" s="4">
        <f t="shared" si="2"/>
        <v>780.9166667</v>
      </c>
      <c r="F1194" s="4">
        <f t="shared" si="3"/>
        <v>260.3055556</v>
      </c>
      <c r="G1194" s="4">
        <f t="shared" si="4"/>
        <v>781</v>
      </c>
      <c r="H1194" s="4" t="str">
        <f t="shared" si="5"/>
        <v>Binh thuong</v>
      </c>
    </row>
    <row r="1195" ht="14.25" customHeight="1">
      <c r="A1195" s="4" t="s">
        <v>1212</v>
      </c>
      <c r="B1195" s="4">
        <v>321218.0</v>
      </c>
      <c r="C1195" s="4" t="s">
        <v>886</v>
      </c>
      <c r="D1195" s="4" t="str">
        <f t="shared" si="1"/>
        <v>MA3</v>
      </c>
      <c r="E1195" s="4">
        <f t="shared" si="2"/>
        <v>26768.16667</v>
      </c>
      <c r="F1195" s="4">
        <f t="shared" si="3"/>
        <v>8922.722222</v>
      </c>
      <c r="G1195" s="4">
        <f t="shared" si="4"/>
        <v>26768</v>
      </c>
      <c r="H1195" s="4" t="str">
        <f t="shared" si="5"/>
        <v>Uu tien cao</v>
      </c>
    </row>
    <row r="1196" ht="14.25" customHeight="1">
      <c r="A1196" s="4" t="s">
        <v>1213</v>
      </c>
      <c r="B1196" s="4">
        <v>55139.0</v>
      </c>
      <c r="C1196" s="4" t="s">
        <v>886</v>
      </c>
      <c r="D1196" s="4" t="str">
        <f t="shared" si="1"/>
        <v>MA3</v>
      </c>
      <c r="E1196" s="4">
        <f t="shared" si="2"/>
        <v>4594.916667</v>
      </c>
      <c r="F1196" s="4">
        <f t="shared" si="3"/>
        <v>1531.638889</v>
      </c>
      <c r="G1196" s="4">
        <f t="shared" si="4"/>
        <v>4595</v>
      </c>
      <c r="H1196" s="4" t="str">
        <f t="shared" si="5"/>
        <v>Uu tien cao</v>
      </c>
    </row>
    <row r="1197" ht="14.25" customHeight="1">
      <c r="A1197" s="4" t="s">
        <v>1214</v>
      </c>
      <c r="B1197" s="4">
        <v>47322.0</v>
      </c>
      <c r="C1197" s="4" t="s">
        <v>886</v>
      </c>
      <c r="D1197" s="4" t="str">
        <f t="shared" si="1"/>
        <v>MA3</v>
      </c>
      <c r="E1197" s="4">
        <f t="shared" si="2"/>
        <v>3943.5</v>
      </c>
      <c r="F1197" s="4">
        <f t="shared" si="3"/>
        <v>1314.5</v>
      </c>
      <c r="G1197" s="4">
        <f t="shared" si="4"/>
        <v>3944</v>
      </c>
      <c r="H1197" s="4" t="str">
        <f t="shared" si="5"/>
        <v>Uu tien cao</v>
      </c>
    </row>
    <row r="1198" ht="14.25" customHeight="1">
      <c r="A1198" s="4" t="s">
        <v>1215</v>
      </c>
      <c r="B1198" s="4">
        <v>189577.0</v>
      </c>
      <c r="C1198" s="4" t="s">
        <v>886</v>
      </c>
      <c r="D1198" s="4" t="str">
        <f t="shared" si="1"/>
        <v>MA3</v>
      </c>
      <c r="E1198" s="4">
        <f t="shared" si="2"/>
        <v>15798.08333</v>
      </c>
      <c r="F1198" s="4">
        <f t="shared" si="3"/>
        <v>5266.027778</v>
      </c>
      <c r="G1198" s="4">
        <f t="shared" si="4"/>
        <v>15798</v>
      </c>
      <c r="H1198" s="4" t="str">
        <f t="shared" si="5"/>
        <v>Uu tien cao</v>
      </c>
    </row>
    <row r="1199" ht="14.25" customHeight="1">
      <c r="A1199" s="4" t="s">
        <v>1216</v>
      </c>
      <c r="B1199" s="4">
        <v>89303.0</v>
      </c>
      <c r="C1199" s="4" t="s">
        <v>886</v>
      </c>
      <c r="D1199" s="4" t="str">
        <f t="shared" si="1"/>
        <v>MA3</v>
      </c>
      <c r="E1199" s="4">
        <f t="shared" si="2"/>
        <v>7441.916667</v>
      </c>
      <c r="F1199" s="4">
        <f t="shared" si="3"/>
        <v>2480.638889</v>
      </c>
      <c r="G1199" s="4">
        <f t="shared" si="4"/>
        <v>7442</v>
      </c>
      <c r="H1199" s="4" t="str">
        <f t="shared" si="5"/>
        <v>Uu tien cao</v>
      </c>
    </row>
    <row r="1200" ht="14.25" customHeight="1">
      <c r="A1200" s="4" t="s">
        <v>1217</v>
      </c>
      <c r="B1200" s="4">
        <v>3786.0</v>
      </c>
      <c r="C1200" s="4" t="s">
        <v>886</v>
      </c>
      <c r="D1200" s="4" t="str">
        <f t="shared" si="1"/>
        <v>MA3</v>
      </c>
      <c r="E1200" s="4">
        <f t="shared" si="2"/>
        <v>315.5</v>
      </c>
      <c r="F1200" s="4">
        <f t="shared" si="3"/>
        <v>105.1666667</v>
      </c>
      <c r="G1200" s="4">
        <f t="shared" si="4"/>
        <v>316</v>
      </c>
      <c r="H1200" s="4" t="str">
        <f t="shared" si="5"/>
        <v>Binh thuong</v>
      </c>
    </row>
    <row r="1201" ht="14.25" customHeight="1">
      <c r="A1201" s="4" t="s">
        <v>1218</v>
      </c>
      <c r="B1201" s="4">
        <v>9146.0</v>
      </c>
      <c r="C1201" s="4" t="s">
        <v>886</v>
      </c>
      <c r="D1201" s="4" t="str">
        <f t="shared" si="1"/>
        <v>MA3</v>
      </c>
      <c r="E1201" s="4">
        <f t="shared" si="2"/>
        <v>762.1666667</v>
      </c>
      <c r="F1201" s="4">
        <f t="shared" si="3"/>
        <v>254.0555556</v>
      </c>
      <c r="G1201" s="4">
        <f t="shared" si="4"/>
        <v>762</v>
      </c>
      <c r="H1201" s="4" t="str">
        <f t="shared" si="5"/>
        <v>Binh thuong</v>
      </c>
    </row>
    <row r="1202" ht="14.25" customHeight="1">
      <c r="A1202" s="4" t="s">
        <v>1219</v>
      </c>
      <c r="B1202" s="4">
        <v>154302.0</v>
      </c>
      <c r="C1202" s="4" t="s">
        <v>886</v>
      </c>
      <c r="D1202" s="4" t="str">
        <f t="shared" si="1"/>
        <v>MA3</v>
      </c>
      <c r="E1202" s="4">
        <f t="shared" si="2"/>
        <v>12858.5</v>
      </c>
      <c r="F1202" s="4">
        <f t="shared" si="3"/>
        <v>4286.166667</v>
      </c>
      <c r="G1202" s="4">
        <f t="shared" si="4"/>
        <v>12859</v>
      </c>
      <c r="H1202" s="4" t="str">
        <f t="shared" si="5"/>
        <v>Uu tien cao</v>
      </c>
    </row>
    <row r="1203" ht="14.25" customHeight="1">
      <c r="A1203" s="4" t="s">
        <v>1220</v>
      </c>
      <c r="B1203" s="4">
        <v>8177.0</v>
      </c>
      <c r="C1203" s="4" t="s">
        <v>886</v>
      </c>
      <c r="D1203" s="4" t="str">
        <f t="shared" si="1"/>
        <v>MA3</v>
      </c>
      <c r="E1203" s="4">
        <f t="shared" si="2"/>
        <v>681.4166667</v>
      </c>
      <c r="F1203" s="4">
        <f t="shared" si="3"/>
        <v>227.1388889</v>
      </c>
      <c r="G1203" s="4">
        <f t="shared" si="4"/>
        <v>681</v>
      </c>
      <c r="H1203" s="4" t="str">
        <f t="shared" si="5"/>
        <v>Binh thuong</v>
      </c>
    </row>
    <row r="1204" ht="14.25" customHeight="1">
      <c r="A1204" s="4" t="s">
        <v>1221</v>
      </c>
      <c r="B1204" s="4">
        <v>17932.0</v>
      </c>
      <c r="C1204" s="4" t="s">
        <v>886</v>
      </c>
      <c r="D1204" s="4" t="str">
        <f t="shared" si="1"/>
        <v>MA3</v>
      </c>
      <c r="E1204" s="4">
        <f t="shared" si="2"/>
        <v>1494.333333</v>
      </c>
      <c r="F1204" s="4">
        <f t="shared" si="3"/>
        <v>498.1111111</v>
      </c>
      <c r="G1204" s="4">
        <f t="shared" si="4"/>
        <v>1494</v>
      </c>
      <c r="H1204" s="4" t="str">
        <f t="shared" si="5"/>
        <v>Binh thuong</v>
      </c>
    </row>
    <row r="1205" ht="14.25" customHeight="1">
      <c r="A1205" s="4" t="s">
        <v>1222</v>
      </c>
      <c r="B1205" s="4">
        <v>82378.0</v>
      </c>
      <c r="C1205" s="4" t="s">
        <v>886</v>
      </c>
      <c r="D1205" s="4" t="str">
        <f t="shared" si="1"/>
        <v>MA3</v>
      </c>
      <c r="E1205" s="4">
        <f t="shared" si="2"/>
        <v>6864.833333</v>
      </c>
      <c r="F1205" s="4">
        <f t="shared" si="3"/>
        <v>2288.277778</v>
      </c>
      <c r="G1205" s="4">
        <f t="shared" si="4"/>
        <v>6865</v>
      </c>
      <c r="H1205" s="4" t="str">
        <f t="shared" si="5"/>
        <v>Uu tien cao</v>
      </c>
    </row>
    <row r="1206" ht="14.25" customHeight="1">
      <c r="A1206" s="4" t="s">
        <v>1223</v>
      </c>
      <c r="B1206" s="4">
        <v>4572.0</v>
      </c>
      <c r="C1206" s="4" t="s">
        <v>886</v>
      </c>
      <c r="D1206" s="4" t="str">
        <f t="shared" si="1"/>
        <v>MA3</v>
      </c>
      <c r="E1206" s="4">
        <f t="shared" si="2"/>
        <v>381</v>
      </c>
      <c r="F1206" s="4">
        <f t="shared" si="3"/>
        <v>127</v>
      </c>
      <c r="G1206" s="4">
        <f t="shared" si="4"/>
        <v>381</v>
      </c>
      <c r="H1206" s="4" t="str">
        <f t="shared" si="5"/>
        <v>Binh thuong</v>
      </c>
    </row>
    <row r="1207" ht="14.25" customHeight="1">
      <c r="A1207" s="4" t="s">
        <v>1224</v>
      </c>
      <c r="B1207" s="4">
        <v>9690.0</v>
      </c>
      <c r="C1207" s="4" t="s">
        <v>886</v>
      </c>
      <c r="D1207" s="4" t="str">
        <f t="shared" si="1"/>
        <v>MA3</v>
      </c>
      <c r="E1207" s="4">
        <f t="shared" si="2"/>
        <v>807.5</v>
      </c>
      <c r="F1207" s="4">
        <f t="shared" si="3"/>
        <v>269.1666667</v>
      </c>
      <c r="G1207" s="4">
        <f t="shared" si="4"/>
        <v>808</v>
      </c>
      <c r="H1207" s="4" t="str">
        <f t="shared" si="5"/>
        <v>Binh thuong</v>
      </c>
    </row>
    <row r="1208" ht="14.25" customHeight="1">
      <c r="A1208" s="4" t="s">
        <v>1225</v>
      </c>
      <c r="B1208" s="4">
        <v>71636.0</v>
      </c>
      <c r="C1208" s="4" t="s">
        <v>886</v>
      </c>
      <c r="D1208" s="4" t="str">
        <f t="shared" si="1"/>
        <v>MA3</v>
      </c>
      <c r="E1208" s="4">
        <f t="shared" si="2"/>
        <v>5969.666667</v>
      </c>
      <c r="F1208" s="4">
        <f t="shared" si="3"/>
        <v>1989.888889</v>
      </c>
      <c r="G1208" s="4">
        <f t="shared" si="4"/>
        <v>5970</v>
      </c>
      <c r="H1208" s="4" t="str">
        <f t="shared" si="5"/>
        <v>Uu tien cao</v>
      </c>
    </row>
    <row r="1209" ht="14.25" customHeight="1">
      <c r="A1209" s="4" t="s">
        <v>1226</v>
      </c>
      <c r="B1209" s="4">
        <v>2888.0</v>
      </c>
      <c r="C1209" s="4" t="s">
        <v>886</v>
      </c>
      <c r="D1209" s="4" t="str">
        <f t="shared" si="1"/>
        <v>MA3</v>
      </c>
      <c r="E1209" s="4">
        <f t="shared" si="2"/>
        <v>240.6666667</v>
      </c>
      <c r="F1209" s="4">
        <f t="shared" si="3"/>
        <v>80.22222222</v>
      </c>
      <c r="G1209" s="4">
        <f t="shared" si="4"/>
        <v>241</v>
      </c>
      <c r="H1209" s="4" t="str">
        <f t="shared" si="5"/>
        <v>Binh thuong</v>
      </c>
    </row>
    <row r="1210" ht="14.25" customHeight="1">
      <c r="A1210" s="4" t="s">
        <v>1227</v>
      </c>
      <c r="B1210" s="4">
        <v>6646.0</v>
      </c>
      <c r="C1210" s="4" t="s">
        <v>886</v>
      </c>
      <c r="D1210" s="4" t="str">
        <f t="shared" si="1"/>
        <v>MA3</v>
      </c>
      <c r="E1210" s="4">
        <f t="shared" si="2"/>
        <v>553.8333333</v>
      </c>
      <c r="F1210" s="4">
        <f t="shared" si="3"/>
        <v>184.6111111</v>
      </c>
      <c r="G1210" s="4">
        <f t="shared" si="4"/>
        <v>554</v>
      </c>
      <c r="H1210" s="4" t="str">
        <f t="shared" si="5"/>
        <v>Binh thuong</v>
      </c>
    </row>
    <row r="1211" ht="14.25" customHeight="1">
      <c r="A1211" s="4" t="s">
        <v>1228</v>
      </c>
      <c r="B1211" s="4">
        <v>210752.0</v>
      </c>
      <c r="C1211" s="4" t="s">
        <v>886</v>
      </c>
      <c r="D1211" s="4" t="str">
        <f t="shared" si="1"/>
        <v>MA3</v>
      </c>
      <c r="E1211" s="4">
        <f t="shared" si="2"/>
        <v>17562.66667</v>
      </c>
      <c r="F1211" s="4">
        <f t="shared" si="3"/>
        <v>5854.222222</v>
      </c>
      <c r="G1211" s="4">
        <f t="shared" si="4"/>
        <v>17563</v>
      </c>
      <c r="H1211" s="4" t="str">
        <f t="shared" si="5"/>
        <v>Uu tien cao</v>
      </c>
    </row>
    <row r="1212" ht="14.25" customHeight="1">
      <c r="A1212" s="4" t="s">
        <v>1229</v>
      </c>
      <c r="B1212" s="4">
        <v>13656.0</v>
      </c>
      <c r="C1212" s="4" t="s">
        <v>886</v>
      </c>
      <c r="D1212" s="4" t="str">
        <f t="shared" si="1"/>
        <v>MA3</v>
      </c>
      <c r="E1212" s="4">
        <f t="shared" si="2"/>
        <v>1138</v>
      </c>
      <c r="F1212" s="4">
        <f t="shared" si="3"/>
        <v>379.3333333</v>
      </c>
      <c r="G1212" s="4">
        <f t="shared" si="4"/>
        <v>1138</v>
      </c>
      <c r="H1212" s="4" t="str">
        <f t="shared" si="5"/>
        <v>Binh thuong</v>
      </c>
    </row>
    <row r="1213" ht="14.25" customHeight="1">
      <c r="A1213" s="4" t="s">
        <v>1230</v>
      </c>
      <c r="B1213" s="4">
        <v>24400.0</v>
      </c>
      <c r="C1213" s="4" t="s">
        <v>886</v>
      </c>
      <c r="D1213" s="4" t="str">
        <f t="shared" si="1"/>
        <v>MA3</v>
      </c>
      <c r="E1213" s="4">
        <f t="shared" si="2"/>
        <v>2033.333333</v>
      </c>
      <c r="F1213" s="4">
        <f t="shared" si="3"/>
        <v>677.7777778</v>
      </c>
      <c r="G1213" s="4">
        <f t="shared" si="4"/>
        <v>2033</v>
      </c>
      <c r="H1213" s="4" t="str">
        <f t="shared" si="5"/>
        <v>Binh thuong</v>
      </c>
    </row>
    <row r="1214" ht="14.25" customHeight="1">
      <c r="A1214" s="4" t="s">
        <v>1231</v>
      </c>
      <c r="B1214" s="4">
        <v>63359.0</v>
      </c>
      <c r="C1214" s="4" t="s">
        <v>886</v>
      </c>
      <c r="D1214" s="4" t="str">
        <f t="shared" si="1"/>
        <v>MA3</v>
      </c>
      <c r="E1214" s="4">
        <f t="shared" si="2"/>
        <v>5279.916667</v>
      </c>
      <c r="F1214" s="4">
        <f t="shared" si="3"/>
        <v>1759.972222</v>
      </c>
      <c r="G1214" s="4">
        <f t="shared" si="4"/>
        <v>5280</v>
      </c>
      <c r="H1214" s="4" t="str">
        <f t="shared" si="5"/>
        <v>Uu tien cao</v>
      </c>
    </row>
    <row r="1215" ht="14.25" customHeight="1">
      <c r="A1215" s="4" t="s">
        <v>1232</v>
      </c>
      <c r="B1215" s="4">
        <v>2574.0</v>
      </c>
      <c r="C1215" s="4" t="s">
        <v>886</v>
      </c>
      <c r="D1215" s="4" t="str">
        <f t="shared" si="1"/>
        <v>MA3</v>
      </c>
      <c r="E1215" s="4">
        <f t="shared" si="2"/>
        <v>214.5</v>
      </c>
      <c r="F1215" s="4">
        <f t="shared" si="3"/>
        <v>71.5</v>
      </c>
      <c r="G1215" s="4">
        <f t="shared" si="4"/>
        <v>215</v>
      </c>
      <c r="H1215" s="4" t="str">
        <f t="shared" si="5"/>
        <v>Binh thuong</v>
      </c>
    </row>
    <row r="1216" ht="14.25" customHeight="1">
      <c r="A1216" s="4" t="s">
        <v>1233</v>
      </c>
      <c r="B1216" s="4">
        <v>6611.0</v>
      </c>
      <c r="C1216" s="4" t="s">
        <v>886</v>
      </c>
      <c r="D1216" s="4" t="str">
        <f t="shared" si="1"/>
        <v>MA3</v>
      </c>
      <c r="E1216" s="4">
        <f t="shared" si="2"/>
        <v>550.9166667</v>
      </c>
      <c r="F1216" s="4">
        <f t="shared" si="3"/>
        <v>183.6388889</v>
      </c>
      <c r="G1216" s="4">
        <f t="shared" si="4"/>
        <v>551</v>
      </c>
      <c r="H1216" s="4" t="str">
        <f t="shared" si="5"/>
        <v>Binh thuong</v>
      </c>
    </row>
    <row r="1217" ht="14.25" customHeight="1">
      <c r="A1217" s="4" t="s">
        <v>1234</v>
      </c>
      <c r="B1217" s="4">
        <v>73607.0</v>
      </c>
      <c r="C1217" s="4" t="s">
        <v>886</v>
      </c>
      <c r="D1217" s="4" t="str">
        <f t="shared" si="1"/>
        <v>MA3</v>
      </c>
      <c r="E1217" s="4">
        <f t="shared" si="2"/>
        <v>6133.916667</v>
      </c>
      <c r="F1217" s="4">
        <f t="shared" si="3"/>
        <v>2044.638889</v>
      </c>
      <c r="G1217" s="4">
        <f t="shared" si="4"/>
        <v>6134</v>
      </c>
      <c r="H1217" s="4" t="str">
        <f t="shared" si="5"/>
        <v>Uu tien cao</v>
      </c>
    </row>
    <row r="1218" ht="14.25" customHeight="1">
      <c r="A1218" s="4" t="s">
        <v>1235</v>
      </c>
      <c r="B1218" s="4">
        <v>49415.0</v>
      </c>
      <c r="C1218" s="4" t="s">
        <v>886</v>
      </c>
      <c r="D1218" s="4" t="str">
        <f t="shared" si="1"/>
        <v>MA3</v>
      </c>
      <c r="E1218" s="4">
        <f t="shared" si="2"/>
        <v>4117.916667</v>
      </c>
      <c r="F1218" s="4">
        <f t="shared" si="3"/>
        <v>1372.638889</v>
      </c>
      <c r="G1218" s="4">
        <f t="shared" si="4"/>
        <v>4118</v>
      </c>
      <c r="H1218" s="4" t="str">
        <f t="shared" si="5"/>
        <v>Uu tien cao</v>
      </c>
    </row>
    <row r="1219" ht="14.25" customHeight="1">
      <c r="A1219" s="4" t="s">
        <v>1236</v>
      </c>
      <c r="B1219" s="4">
        <v>8195.0</v>
      </c>
      <c r="C1219" s="4" t="s">
        <v>886</v>
      </c>
      <c r="D1219" s="4" t="str">
        <f t="shared" si="1"/>
        <v>MA3</v>
      </c>
      <c r="E1219" s="4">
        <f t="shared" si="2"/>
        <v>682.9166667</v>
      </c>
      <c r="F1219" s="4">
        <f t="shared" si="3"/>
        <v>227.6388889</v>
      </c>
      <c r="G1219" s="4">
        <f t="shared" si="4"/>
        <v>683</v>
      </c>
      <c r="H1219" s="4" t="str">
        <f t="shared" si="5"/>
        <v>Binh thuong</v>
      </c>
    </row>
    <row r="1220" ht="14.25" customHeight="1">
      <c r="A1220" s="4" t="s">
        <v>1237</v>
      </c>
      <c r="B1220" s="4">
        <v>53112.0</v>
      </c>
      <c r="C1220" s="4" t="s">
        <v>886</v>
      </c>
      <c r="D1220" s="4" t="str">
        <f t="shared" si="1"/>
        <v>MA3</v>
      </c>
      <c r="E1220" s="4">
        <f t="shared" si="2"/>
        <v>4426</v>
      </c>
      <c r="F1220" s="4">
        <f t="shared" si="3"/>
        <v>1475.333333</v>
      </c>
      <c r="G1220" s="4">
        <f t="shared" si="4"/>
        <v>4426</v>
      </c>
      <c r="H1220" s="4" t="str">
        <f t="shared" si="5"/>
        <v>Uu tien cao</v>
      </c>
    </row>
    <row r="1221" ht="14.25" customHeight="1">
      <c r="A1221" s="4" t="s">
        <v>1238</v>
      </c>
      <c r="B1221" s="4">
        <v>13815.0</v>
      </c>
      <c r="C1221" s="4" t="s">
        <v>886</v>
      </c>
      <c r="D1221" s="4" t="str">
        <f t="shared" si="1"/>
        <v>MA3</v>
      </c>
      <c r="E1221" s="4">
        <f t="shared" si="2"/>
        <v>1151.25</v>
      </c>
      <c r="F1221" s="4">
        <f t="shared" si="3"/>
        <v>383.75</v>
      </c>
      <c r="G1221" s="4">
        <f t="shared" si="4"/>
        <v>1151</v>
      </c>
      <c r="H1221" s="4" t="str">
        <f t="shared" si="5"/>
        <v>Binh thuong</v>
      </c>
    </row>
    <row r="1222" ht="14.25" customHeight="1">
      <c r="A1222" s="4" t="s">
        <v>1239</v>
      </c>
      <c r="B1222" s="4">
        <v>101568.0</v>
      </c>
      <c r="C1222" s="4" t="s">
        <v>886</v>
      </c>
      <c r="D1222" s="4" t="str">
        <f t="shared" si="1"/>
        <v>MA3</v>
      </c>
      <c r="E1222" s="4">
        <f t="shared" si="2"/>
        <v>8464</v>
      </c>
      <c r="F1222" s="4">
        <f t="shared" si="3"/>
        <v>2821.333333</v>
      </c>
      <c r="G1222" s="4">
        <f t="shared" si="4"/>
        <v>8464</v>
      </c>
      <c r="H1222" s="4" t="str">
        <f t="shared" si="5"/>
        <v>Uu tien cao</v>
      </c>
    </row>
    <row r="1223" ht="14.25" customHeight="1">
      <c r="A1223" s="4" t="s">
        <v>1240</v>
      </c>
      <c r="B1223" s="4">
        <v>79290.0</v>
      </c>
      <c r="C1223" s="4" t="s">
        <v>886</v>
      </c>
      <c r="D1223" s="4" t="str">
        <f t="shared" si="1"/>
        <v>MA3</v>
      </c>
      <c r="E1223" s="4">
        <f t="shared" si="2"/>
        <v>6607.5</v>
      </c>
      <c r="F1223" s="4">
        <f t="shared" si="3"/>
        <v>2202.5</v>
      </c>
      <c r="G1223" s="4">
        <f t="shared" si="4"/>
        <v>6608</v>
      </c>
      <c r="H1223" s="4" t="str">
        <f t="shared" si="5"/>
        <v>Uu tien cao</v>
      </c>
    </row>
    <row r="1224" ht="14.25" customHeight="1">
      <c r="A1224" s="4" t="s">
        <v>1241</v>
      </c>
      <c r="B1224" s="4">
        <v>39171.0</v>
      </c>
      <c r="C1224" s="4" t="s">
        <v>886</v>
      </c>
      <c r="D1224" s="4" t="str">
        <f t="shared" si="1"/>
        <v>MA3</v>
      </c>
      <c r="E1224" s="4">
        <f t="shared" si="2"/>
        <v>3264.25</v>
      </c>
      <c r="F1224" s="4">
        <f t="shared" si="3"/>
        <v>1088.083333</v>
      </c>
      <c r="G1224" s="4">
        <f t="shared" si="4"/>
        <v>3264</v>
      </c>
      <c r="H1224" s="4" t="str">
        <f t="shared" si="5"/>
        <v>Binh thuong</v>
      </c>
    </row>
    <row r="1225" ht="14.25" customHeight="1">
      <c r="A1225" s="4" t="s">
        <v>1242</v>
      </c>
      <c r="B1225" s="4">
        <v>6633.0</v>
      </c>
      <c r="C1225" s="4" t="s">
        <v>886</v>
      </c>
      <c r="D1225" s="4" t="str">
        <f t="shared" si="1"/>
        <v>MA3</v>
      </c>
      <c r="E1225" s="4">
        <f t="shared" si="2"/>
        <v>552.75</v>
      </c>
      <c r="F1225" s="4">
        <f t="shared" si="3"/>
        <v>184.25</v>
      </c>
      <c r="G1225" s="4">
        <f t="shared" si="4"/>
        <v>553</v>
      </c>
      <c r="H1225" s="4" t="str">
        <f t="shared" si="5"/>
        <v>Binh thuong</v>
      </c>
    </row>
    <row r="1226" ht="14.25" customHeight="1">
      <c r="A1226" s="4" t="s">
        <v>1243</v>
      </c>
      <c r="B1226" s="4">
        <v>37509.0</v>
      </c>
      <c r="C1226" s="4" t="s">
        <v>886</v>
      </c>
      <c r="D1226" s="4" t="str">
        <f t="shared" si="1"/>
        <v>MA3</v>
      </c>
      <c r="E1226" s="4">
        <f t="shared" si="2"/>
        <v>3125.75</v>
      </c>
      <c r="F1226" s="4">
        <f t="shared" si="3"/>
        <v>1041.916667</v>
      </c>
      <c r="G1226" s="4">
        <f t="shared" si="4"/>
        <v>3126</v>
      </c>
      <c r="H1226" s="4" t="str">
        <f t="shared" si="5"/>
        <v>Binh thuong</v>
      </c>
    </row>
    <row r="1227" ht="14.25" customHeight="1">
      <c r="A1227" s="4" t="s">
        <v>1244</v>
      </c>
      <c r="B1227" s="4">
        <v>17688.0</v>
      </c>
      <c r="C1227" s="4" t="s">
        <v>886</v>
      </c>
      <c r="D1227" s="4" t="str">
        <f t="shared" si="1"/>
        <v>MA3</v>
      </c>
      <c r="E1227" s="4">
        <f t="shared" si="2"/>
        <v>1474</v>
      </c>
      <c r="F1227" s="4">
        <f t="shared" si="3"/>
        <v>491.3333333</v>
      </c>
      <c r="G1227" s="4">
        <f t="shared" si="4"/>
        <v>1474</v>
      </c>
      <c r="H1227" s="4" t="str">
        <f t="shared" si="5"/>
        <v>Binh thuong</v>
      </c>
    </row>
    <row r="1228" ht="14.25" customHeight="1">
      <c r="A1228" s="4" t="s">
        <v>1245</v>
      </c>
      <c r="B1228" s="4">
        <v>2485.0</v>
      </c>
      <c r="C1228" s="4" t="s">
        <v>886</v>
      </c>
      <c r="D1228" s="4" t="str">
        <f t="shared" si="1"/>
        <v>MA3</v>
      </c>
      <c r="E1228" s="4">
        <f t="shared" si="2"/>
        <v>207.0833333</v>
      </c>
      <c r="F1228" s="4">
        <f t="shared" si="3"/>
        <v>69.02777778</v>
      </c>
      <c r="G1228" s="4">
        <f t="shared" si="4"/>
        <v>207</v>
      </c>
      <c r="H1228" s="4" t="str">
        <f t="shared" si="5"/>
        <v>Binh thuong</v>
      </c>
    </row>
    <row r="1229" ht="14.25" customHeight="1">
      <c r="A1229" s="4" t="s">
        <v>1246</v>
      </c>
      <c r="B1229" s="4">
        <v>293231.0</v>
      </c>
      <c r="C1229" s="4" t="s">
        <v>886</v>
      </c>
      <c r="D1229" s="4" t="str">
        <f t="shared" si="1"/>
        <v>MA3</v>
      </c>
      <c r="E1229" s="4">
        <f t="shared" si="2"/>
        <v>24435.91667</v>
      </c>
      <c r="F1229" s="4">
        <f t="shared" si="3"/>
        <v>8145.305556</v>
      </c>
      <c r="G1229" s="4">
        <f t="shared" si="4"/>
        <v>24436</v>
      </c>
      <c r="H1229" s="4" t="str">
        <f t="shared" si="5"/>
        <v>Uu tien cao</v>
      </c>
    </row>
    <row r="1230" ht="14.25" customHeight="1">
      <c r="A1230" s="4" t="s">
        <v>1247</v>
      </c>
      <c r="B1230" s="4">
        <v>10075.0</v>
      </c>
      <c r="C1230" s="4" t="s">
        <v>886</v>
      </c>
      <c r="D1230" s="4" t="str">
        <f t="shared" si="1"/>
        <v>MA3</v>
      </c>
      <c r="E1230" s="4">
        <f t="shared" si="2"/>
        <v>839.5833333</v>
      </c>
      <c r="F1230" s="4">
        <f t="shared" si="3"/>
        <v>279.8611111</v>
      </c>
      <c r="G1230" s="4">
        <f t="shared" si="4"/>
        <v>840</v>
      </c>
      <c r="H1230" s="4" t="str">
        <f t="shared" si="5"/>
        <v>Binh thuong</v>
      </c>
    </row>
    <row r="1231" ht="14.25" customHeight="1">
      <c r="A1231" s="4" t="s">
        <v>1248</v>
      </c>
      <c r="B1231" s="4">
        <v>23086.0</v>
      </c>
      <c r="C1231" s="4" t="s">
        <v>886</v>
      </c>
      <c r="D1231" s="4" t="str">
        <f t="shared" si="1"/>
        <v>MA3</v>
      </c>
      <c r="E1231" s="4">
        <f t="shared" si="2"/>
        <v>1923.833333</v>
      </c>
      <c r="F1231" s="4">
        <f t="shared" si="3"/>
        <v>641.2777778</v>
      </c>
      <c r="G1231" s="4">
        <f t="shared" si="4"/>
        <v>1924</v>
      </c>
      <c r="H1231" s="4" t="str">
        <f t="shared" si="5"/>
        <v>Binh thuong</v>
      </c>
    </row>
    <row r="1232" ht="14.25" customHeight="1">
      <c r="A1232" s="4" t="s">
        <v>1249</v>
      </c>
      <c r="B1232" s="4">
        <v>12066.0</v>
      </c>
      <c r="C1232" s="4" t="s">
        <v>886</v>
      </c>
      <c r="D1232" s="4" t="str">
        <f t="shared" si="1"/>
        <v>MA3</v>
      </c>
      <c r="E1232" s="4">
        <f t="shared" si="2"/>
        <v>1005.5</v>
      </c>
      <c r="F1232" s="4">
        <f t="shared" si="3"/>
        <v>335.1666667</v>
      </c>
      <c r="G1232" s="4">
        <f t="shared" si="4"/>
        <v>1006</v>
      </c>
      <c r="H1232" s="4" t="str">
        <f t="shared" si="5"/>
        <v>Binh thuong</v>
      </c>
    </row>
    <row r="1233" ht="14.25" customHeight="1">
      <c r="A1233" s="4" t="s">
        <v>1250</v>
      </c>
      <c r="B1233" s="4">
        <v>1080.0</v>
      </c>
      <c r="C1233" s="4" t="s">
        <v>886</v>
      </c>
      <c r="D1233" s="4" t="str">
        <f t="shared" si="1"/>
        <v>MA3</v>
      </c>
      <c r="E1233" s="4">
        <f t="shared" si="2"/>
        <v>90</v>
      </c>
      <c r="F1233" s="4">
        <f t="shared" si="3"/>
        <v>30</v>
      </c>
      <c r="G1233" s="4">
        <f t="shared" si="4"/>
        <v>90</v>
      </c>
      <c r="H1233" s="4" t="str">
        <f t="shared" si="5"/>
        <v>Binh thuong</v>
      </c>
    </row>
    <row r="1234" ht="14.25" customHeight="1">
      <c r="A1234" s="4" t="s">
        <v>1251</v>
      </c>
      <c r="B1234" s="4">
        <v>5688.0</v>
      </c>
      <c r="C1234" s="4" t="s">
        <v>886</v>
      </c>
      <c r="D1234" s="4" t="str">
        <f t="shared" si="1"/>
        <v>MA3</v>
      </c>
      <c r="E1234" s="4">
        <f t="shared" si="2"/>
        <v>474</v>
      </c>
      <c r="F1234" s="4">
        <f t="shared" si="3"/>
        <v>158</v>
      </c>
      <c r="G1234" s="4">
        <f t="shared" si="4"/>
        <v>474</v>
      </c>
      <c r="H1234" s="4" t="str">
        <f t="shared" si="5"/>
        <v>Binh thuong</v>
      </c>
    </row>
    <row r="1235" ht="14.25" customHeight="1">
      <c r="A1235" s="4" t="s">
        <v>1252</v>
      </c>
      <c r="B1235" s="4">
        <v>20420.0</v>
      </c>
      <c r="C1235" s="4" t="s">
        <v>886</v>
      </c>
      <c r="D1235" s="4" t="str">
        <f t="shared" si="1"/>
        <v>MA3</v>
      </c>
      <c r="E1235" s="4">
        <f t="shared" si="2"/>
        <v>1701.666667</v>
      </c>
      <c r="F1235" s="4">
        <f t="shared" si="3"/>
        <v>567.2222222</v>
      </c>
      <c r="G1235" s="4">
        <f t="shared" si="4"/>
        <v>1702</v>
      </c>
      <c r="H1235" s="4" t="str">
        <f t="shared" si="5"/>
        <v>Binh thuong</v>
      </c>
    </row>
    <row r="1236" ht="14.25" customHeight="1">
      <c r="A1236" s="4" t="s">
        <v>1253</v>
      </c>
      <c r="B1236" s="4">
        <v>8859.0</v>
      </c>
      <c r="C1236" s="4" t="s">
        <v>886</v>
      </c>
      <c r="D1236" s="4" t="str">
        <f t="shared" si="1"/>
        <v>MA3</v>
      </c>
      <c r="E1236" s="4">
        <f t="shared" si="2"/>
        <v>738.25</v>
      </c>
      <c r="F1236" s="4">
        <f t="shared" si="3"/>
        <v>246.0833333</v>
      </c>
      <c r="G1236" s="4">
        <f t="shared" si="4"/>
        <v>738</v>
      </c>
      <c r="H1236" s="4" t="str">
        <f t="shared" si="5"/>
        <v>Binh thuong</v>
      </c>
    </row>
    <row r="1237" ht="14.25" customHeight="1">
      <c r="A1237" s="4" t="s">
        <v>1254</v>
      </c>
      <c r="B1237" s="4">
        <v>21245.0</v>
      </c>
      <c r="C1237" s="4" t="s">
        <v>886</v>
      </c>
      <c r="D1237" s="4" t="str">
        <f t="shared" si="1"/>
        <v>MA3</v>
      </c>
      <c r="E1237" s="4">
        <f t="shared" si="2"/>
        <v>1770.416667</v>
      </c>
      <c r="F1237" s="4">
        <f t="shared" si="3"/>
        <v>590.1388889</v>
      </c>
      <c r="G1237" s="4">
        <f t="shared" si="4"/>
        <v>1770</v>
      </c>
      <c r="H1237" s="4" t="str">
        <f t="shared" si="5"/>
        <v>Binh thuong</v>
      </c>
    </row>
    <row r="1238" ht="14.25" customHeight="1">
      <c r="A1238" s="4" t="s">
        <v>1255</v>
      </c>
      <c r="B1238" s="4">
        <v>2782.0</v>
      </c>
      <c r="C1238" s="4" t="s">
        <v>886</v>
      </c>
      <c r="D1238" s="4" t="str">
        <f t="shared" si="1"/>
        <v>MA3</v>
      </c>
      <c r="E1238" s="4">
        <f t="shared" si="2"/>
        <v>231.8333333</v>
      </c>
      <c r="F1238" s="4">
        <f t="shared" si="3"/>
        <v>77.27777778</v>
      </c>
      <c r="G1238" s="4">
        <f t="shared" si="4"/>
        <v>232</v>
      </c>
      <c r="H1238" s="4" t="str">
        <f t="shared" si="5"/>
        <v>Binh thuong</v>
      </c>
    </row>
    <row r="1239" ht="14.25" customHeight="1">
      <c r="A1239" s="4" t="s">
        <v>1256</v>
      </c>
      <c r="B1239" s="4">
        <v>38047.0</v>
      </c>
      <c r="C1239" s="4" t="s">
        <v>886</v>
      </c>
      <c r="D1239" s="4" t="str">
        <f t="shared" si="1"/>
        <v>MA3</v>
      </c>
      <c r="E1239" s="4">
        <f t="shared" si="2"/>
        <v>3170.583333</v>
      </c>
      <c r="F1239" s="4">
        <f t="shared" si="3"/>
        <v>1056.861111</v>
      </c>
      <c r="G1239" s="4">
        <f t="shared" si="4"/>
        <v>3171</v>
      </c>
      <c r="H1239" s="4" t="str">
        <f t="shared" si="5"/>
        <v>Binh thuong</v>
      </c>
    </row>
    <row r="1240" ht="14.25" customHeight="1">
      <c r="A1240" s="4" t="s">
        <v>1257</v>
      </c>
      <c r="B1240" s="4">
        <v>25095.0</v>
      </c>
      <c r="C1240" s="4" t="s">
        <v>886</v>
      </c>
      <c r="D1240" s="4" t="str">
        <f t="shared" si="1"/>
        <v>MA3</v>
      </c>
      <c r="E1240" s="4">
        <f t="shared" si="2"/>
        <v>2091.25</v>
      </c>
      <c r="F1240" s="4">
        <f t="shared" si="3"/>
        <v>697.0833333</v>
      </c>
      <c r="G1240" s="4">
        <f t="shared" si="4"/>
        <v>2091</v>
      </c>
      <c r="H1240" s="4" t="str">
        <f t="shared" si="5"/>
        <v>Binh thuong</v>
      </c>
    </row>
    <row r="1241" ht="14.25" customHeight="1">
      <c r="A1241" s="4" t="s">
        <v>1258</v>
      </c>
      <c r="B1241" s="4">
        <v>16385.0</v>
      </c>
      <c r="C1241" s="4" t="s">
        <v>886</v>
      </c>
      <c r="D1241" s="4" t="str">
        <f t="shared" si="1"/>
        <v>MA3</v>
      </c>
      <c r="E1241" s="4">
        <f t="shared" si="2"/>
        <v>1365.416667</v>
      </c>
      <c r="F1241" s="4">
        <f t="shared" si="3"/>
        <v>455.1388889</v>
      </c>
      <c r="G1241" s="4">
        <f t="shared" si="4"/>
        <v>1365</v>
      </c>
      <c r="H1241" s="4" t="str">
        <f t="shared" si="5"/>
        <v>Binh thuong</v>
      </c>
    </row>
    <row r="1242" ht="14.25" customHeight="1">
      <c r="A1242" s="4" t="s">
        <v>1259</v>
      </c>
      <c r="B1242" s="4">
        <v>3259.0</v>
      </c>
      <c r="C1242" s="4" t="s">
        <v>886</v>
      </c>
      <c r="D1242" s="4" t="str">
        <f t="shared" si="1"/>
        <v>MA3</v>
      </c>
      <c r="E1242" s="4">
        <f t="shared" si="2"/>
        <v>271.5833333</v>
      </c>
      <c r="F1242" s="4">
        <f t="shared" si="3"/>
        <v>90.52777778</v>
      </c>
      <c r="G1242" s="4">
        <f t="shared" si="4"/>
        <v>272</v>
      </c>
      <c r="H1242" s="4" t="str">
        <f t="shared" si="5"/>
        <v>Binh thuong</v>
      </c>
    </row>
    <row r="1243" ht="14.25" customHeight="1">
      <c r="A1243" s="4" t="s">
        <v>1260</v>
      </c>
      <c r="B1243" s="4">
        <v>38287.0</v>
      </c>
      <c r="C1243" s="4" t="s">
        <v>886</v>
      </c>
      <c r="D1243" s="4" t="str">
        <f t="shared" si="1"/>
        <v>MA3</v>
      </c>
      <c r="E1243" s="4">
        <f t="shared" si="2"/>
        <v>3190.583333</v>
      </c>
      <c r="F1243" s="4">
        <f t="shared" si="3"/>
        <v>1063.527778</v>
      </c>
      <c r="G1243" s="4">
        <f t="shared" si="4"/>
        <v>3191</v>
      </c>
      <c r="H1243" s="4" t="str">
        <f t="shared" si="5"/>
        <v>Binh thuong</v>
      </c>
    </row>
    <row r="1244" ht="14.25" customHeight="1">
      <c r="A1244" s="4" t="s">
        <v>1261</v>
      </c>
      <c r="B1244" s="4">
        <v>27421.0</v>
      </c>
      <c r="C1244" s="4" t="s">
        <v>886</v>
      </c>
      <c r="D1244" s="4" t="str">
        <f t="shared" si="1"/>
        <v>MA3</v>
      </c>
      <c r="E1244" s="4">
        <f t="shared" si="2"/>
        <v>2285.083333</v>
      </c>
      <c r="F1244" s="4">
        <f t="shared" si="3"/>
        <v>761.6944444</v>
      </c>
      <c r="G1244" s="4">
        <f t="shared" si="4"/>
        <v>2285</v>
      </c>
      <c r="H1244" s="4" t="str">
        <f t="shared" si="5"/>
        <v>Binh thuong</v>
      </c>
    </row>
    <row r="1245" ht="14.25" customHeight="1">
      <c r="A1245" s="4" t="s">
        <v>1262</v>
      </c>
      <c r="B1245" s="4">
        <v>15100.0</v>
      </c>
      <c r="C1245" s="4" t="s">
        <v>886</v>
      </c>
      <c r="D1245" s="4" t="str">
        <f t="shared" si="1"/>
        <v>MA3</v>
      </c>
      <c r="E1245" s="4">
        <f t="shared" si="2"/>
        <v>1258.333333</v>
      </c>
      <c r="F1245" s="4">
        <f t="shared" si="3"/>
        <v>419.4444444</v>
      </c>
      <c r="G1245" s="4">
        <f t="shared" si="4"/>
        <v>1258</v>
      </c>
      <c r="H1245" s="4" t="str">
        <f t="shared" si="5"/>
        <v>Binh thuong</v>
      </c>
    </row>
    <row r="1246" ht="14.25" customHeight="1">
      <c r="A1246" s="4" t="s">
        <v>1263</v>
      </c>
      <c r="B1246" s="4">
        <v>2341.0</v>
      </c>
      <c r="C1246" s="4" t="s">
        <v>886</v>
      </c>
      <c r="D1246" s="4" t="str">
        <f t="shared" si="1"/>
        <v>MA3</v>
      </c>
      <c r="E1246" s="4">
        <f t="shared" si="2"/>
        <v>195.0833333</v>
      </c>
      <c r="F1246" s="4">
        <f t="shared" si="3"/>
        <v>65.02777778</v>
      </c>
      <c r="G1246" s="4">
        <f t="shared" si="4"/>
        <v>195</v>
      </c>
      <c r="H1246" s="4" t="str">
        <f t="shared" si="5"/>
        <v>Binh thuong</v>
      </c>
    </row>
    <row r="1247" ht="14.25" customHeight="1">
      <c r="A1247" s="4" t="s">
        <v>1264</v>
      </c>
      <c r="B1247" s="4">
        <v>50743.0</v>
      </c>
      <c r="C1247" s="4" t="s">
        <v>886</v>
      </c>
      <c r="D1247" s="4" t="str">
        <f t="shared" si="1"/>
        <v>MA3</v>
      </c>
      <c r="E1247" s="4">
        <f t="shared" si="2"/>
        <v>4228.583333</v>
      </c>
      <c r="F1247" s="4">
        <f t="shared" si="3"/>
        <v>1409.527778</v>
      </c>
      <c r="G1247" s="4">
        <f t="shared" si="4"/>
        <v>4229</v>
      </c>
      <c r="H1247" s="4" t="str">
        <f t="shared" si="5"/>
        <v>Uu tien cao</v>
      </c>
    </row>
    <row r="1248" ht="14.25" customHeight="1">
      <c r="A1248" s="4" t="s">
        <v>1265</v>
      </c>
      <c r="B1248" s="4">
        <v>22418.0</v>
      </c>
      <c r="C1248" s="4" t="s">
        <v>886</v>
      </c>
      <c r="D1248" s="4" t="str">
        <f t="shared" si="1"/>
        <v>MA3</v>
      </c>
      <c r="E1248" s="4">
        <f t="shared" si="2"/>
        <v>1868.166667</v>
      </c>
      <c r="F1248" s="4">
        <f t="shared" si="3"/>
        <v>622.7222222</v>
      </c>
      <c r="G1248" s="4">
        <f t="shared" si="4"/>
        <v>1868</v>
      </c>
      <c r="H1248" s="4" t="str">
        <f t="shared" si="5"/>
        <v>Binh thuong</v>
      </c>
    </row>
    <row r="1249" ht="14.25" customHeight="1">
      <c r="A1249" s="4" t="s">
        <v>1266</v>
      </c>
      <c r="B1249" s="4">
        <v>2959.0</v>
      </c>
      <c r="C1249" s="4" t="s">
        <v>886</v>
      </c>
      <c r="D1249" s="4" t="str">
        <f t="shared" si="1"/>
        <v>MA3</v>
      </c>
      <c r="E1249" s="4">
        <f t="shared" si="2"/>
        <v>246.5833333</v>
      </c>
      <c r="F1249" s="4">
        <f t="shared" si="3"/>
        <v>82.19444444</v>
      </c>
      <c r="G1249" s="4">
        <f t="shared" si="4"/>
        <v>247</v>
      </c>
      <c r="H1249" s="4" t="str">
        <f t="shared" si="5"/>
        <v>Binh thuong</v>
      </c>
    </row>
    <row r="1250" ht="14.25" customHeight="1">
      <c r="A1250" s="4" t="s">
        <v>1267</v>
      </c>
      <c r="B1250" s="4">
        <v>17374.0</v>
      </c>
      <c r="C1250" s="4" t="s">
        <v>886</v>
      </c>
      <c r="D1250" s="4" t="str">
        <f t="shared" si="1"/>
        <v>MA3</v>
      </c>
      <c r="E1250" s="4">
        <f t="shared" si="2"/>
        <v>1447.833333</v>
      </c>
      <c r="F1250" s="4">
        <f t="shared" si="3"/>
        <v>482.6111111</v>
      </c>
      <c r="G1250" s="4">
        <f t="shared" si="4"/>
        <v>1448</v>
      </c>
      <c r="H1250" s="4" t="str">
        <f t="shared" si="5"/>
        <v>Binh thuong</v>
      </c>
    </row>
    <row r="1251" ht="14.25" customHeight="1">
      <c r="A1251" s="4" t="s">
        <v>1268</v>
      </c>
      <c r="B1251" s="4">
        <v>3017.0</v>
      </c>
      <c r="C1251" s="4" t="s">
        <v>886</v>
      </c>
      <c r="D1251" s="4" t="str">
        <f t="shared" si="1"/>
        <v>MA3</v>
      </c>
      <c r="E1251" s="4">
        <f t="shared" si="2"/>
        <v>251.4166667</v>
      </c>
      <c r="F1251" s="4">
        <f t="shared" si="3"/>
        <v>83.80555556</v>
      </c>
      <c r="G1251" s="4">
        <f t="shared" si="4"/>
        <v>251</v>
      </c>
      <c r="H1251" s="4" t="str">
        <f t="shared" si="5"/>
        <v>Binh thuong</v>
      </c>
    </row>
    <row r="1252" ht="14.25" customHeight="1">
      <c r="A1252" s="4" t="s">
        <v>1269</v>
      </c>
      <c r="B1252" s="4">
        <v>41079.0</v>
      </c>
      <c r="C1252" s="4" t="s">
        <v>886</v>
      </c>
      <c r="D1252" s="4" t="str">
        <f t="shared" si="1"/>
        <v>MA3</v>
      </c>
      <c r="E1252" s="4">
        <f t="shared" si="2"/>
        <v>3423.25</v>
      </c>
      <c r="F1252" s="4">
        <f t="shared" si="3"/>
        <v>1141.083333</v>
      </c>
      <c r="G1252" s="4">
        <f t="shared" si="4"/>
        <v>3423</v>
      </c>
      <c r="H1252" s="4" t="str">
        <f t="shared" si="5"/>
        <v>Uu tien cao</v>
      </c>
    </row>
    <row r="1253" ht="14.25" customHeight="1">
      <c r="A1253" s="4" t="s">
        <v>1270</v>
      </c>
      <c r="B1253" s="4">
        <v>24448.0</v>
      </c>
      <c r="C1253" s="4" t="s">
        <v>886</v>
      </c>
      <c r="D1253" s="4" t="str">
        <f t="shared" si="1"/>
        <v>MA3</v>
      </c>
      <c r="E1253" s="4">
        <f t="shared" si="2"/>
        <v>2037.333333</v>
      </c>
      <c r="F1253" s="4">
        <f t="shared" si="3"/>
        <v>679.1111111</v>
      </c>
      <c r="G1253" s="4">
        <f t="shared" si="4"/>
        <v>2037</v>
      </c>
      <c r="H1253" s="4" t="str">
        <f t="shared" si="5"/>
        <v>Binh thuong</v>
      </c>
    </row>
    <row r="1254" ht="14.25" customHeight="1">
      <c r="A1254" s="4" t="s">
        <v>1271</v>
      </c>
      <c r="B1254" s="4">
        <v>46043.0</v>
      </c>
      <c r="C1254" s="4" t="s">
        <v>886</v>
      </c>
      <c r="D1254" s="4" t="str">
        <f t="shared" si="1"/>
        <v>MA3</v>
      </c>
      <c r="E1254" s="4">
        <f t="shared" si="2"/>
        <v>3836.916667</v>
      </c>
      <c r="F1254" s="4">
        <f t="shared" si="3"/>
        <v>1278.972222</v>
      </c>
      <c r="G1254" s="4">
        <f t="shared" si="4"/>
        <v>3837</v>
      </c>
      <c r="H1254" s="4" t="str">
        <f t="shared" si="5"/>
        <v>Uu tien cao</v>
      </c>
    </row>
    <row r="1255" ht="14.25" customHeight="1">
      <c r="A1255" s="4" t="s">
        <v>1272</v>
      </c>
      <c r="B1255" s="4">
        <v>14398.0</v>
      </c>
      <c r="C1255" s="4" t="s">
        <v>886</v>
      </c>
      <c r="D1255" s="4" t="str">
        <f t="shared" si="1"/>
        <v>MA3</v>
      </c>
      <c r="E1255" s="4">
        <f t="shared" si="2"/>
        <v>1199.833333</v>
      </c>
      <c r="F1255" s="4">
        <f t="shared" si="3"/>
        <v>399.9444444</v>
      </c>
      <c r="G1255" s="4">
        <f t="shared" si="4"/>
        <v>1200</v>
      </c>
      <c r="H1255" s="4" t="str">
        <f t="shared" si="5"/>
        <v>Binh thuong</v>
      </c>
    </row>
    <row r="1256" ht="14.25" customHeight="1">
      <c r="A1256" s="4" t="s">
        <v>1273</v>
      </c>
      <c r="B1256" s="4">
        <v>3365.0</v>
      </c>
      <c r="C1256" s="4" t="s">
        <v>886</v>
      </c>
      <c r="D1256" s="4" t="str">
        <f t="shared" si="1"/>
        <v>MA3</v>
      </c>
      <c r="E1256" s="4">
        <f t="shared" si="2"/>
        <v>280.4166667</v>
      </c>
      <c r="F1256" s="4">
        <f t="shared" si="3"/>
        <v>93.47222222</v>
      </c>
      <c r="G1256" s="4">
        <f t="shared" si="4"/>
        <v>280</v>
      </c>
      <c r="H1256" s="4" t="str">
        <f t="shared" si="5"/>
        <v>Binh thuong</v>
      </c>
    </row>
    <row r="1257" ht="14.25" customHeight="1">
      <c r="A1257" s="4" t="s">
        <v>1274</v>
      </c>
      <c r="B1257" s="4">
        <v>2013.0</v>
      </c>
      <c r="C1257" s="4" t="s">
        <v>886</v>
      </c>
      <c r="D1257" s="4" t="str">
        <f t="shared" si="1"/>
        <v>MA3</v>
      </c>
      <c r="E1257" s="4">
        <f t="shared" si="2"/>
        <v>167.75</v>
      </c>
      <c r="F1257" s="4">
        <f t="shared" si="3"/>
        <v>55.91666667</v>
      </c>
      <c r="G1257" s="4">
        <f t="shared" si="4"/>
        <v>168</v>
      </c>
      <c r="H1257" s="4" t="str">
        <f t="shared" si="5"/>
        <v>Binh thuong</v>
      </c>
    </row>
    <row r="1258" ht="14.25" customHeight="1">
      <c r="A1258" s="4" t="s">
        <v>1275</v>
      </c>
      <c r="B1258" s="4">
        <v>3699.0</v>
      </c>
      <c r="C1258" s="4" t="s">
        <v>886</v>
      </c>
      <c r="D1258" s="4" t="str">
        <f t="shared" si="1"/>
        <v>MA3</v>
      </c>
      <c r="E1258" s="4">
        <f t="shared" si="2"/>
        <v>308.25</v>
      </c>
      <c r="F1258" s="4">
        <f t="shared" si="3"/>
        <v>102.75</v>
      </c>
      <c r="G1258" s="4">
        <f t="shared" si="4"/>
        <v>308</v>
      </c>
      <c r="H1258" s="4" t="str">
        <f t="shared" si="5"/>
        <v>Binh thuong</v>
      </c>
    </row>
    <row r="1259" ht="14.25" customHeight="1">
      <c r="A1259" s="4" t="s">
        <v>1276</v>
      </c>
      <c r="B1259" s="4">
        <v>4776.0</v>
      </c>
      <c r="C1259" s="4" t="s">
        <v>886</v>
      </c>
      <c r="D1259" s="4" t="str">
        <f t="shared" si="1"/>
        <v>MA3</v>
      </c>
      <c r="E1259" s="4">
        <f t="shared" si="2"/>
        <v>398</v>
      </c>
      <c r="F1259" s="4">
        <f t="shared" si="3"/>
        <v>132.6666667</v>
      </c>
      <c r="G1259" s="4">
        <f t="shared" si="4"/>
        <v>398</v>
      </c>
      <c r="H1259" s="4" t="str">
        <f t="shared" si="5"/>
        <v>Binh thuong</v>
      </c>
    </row>
    <row r="1260" ht="14.25" customHeight="1">
      <c r="A1260" s="4" t="s">
        <v>1277</v>
      </c>
      <c r="B1260" s="4">
        <v>4443.0</v>
      </c>
      <c r="C1260" s="4" t="s">
        <v>886</v>
      </c>
      <c r="D1260" s="4" t="str">
        <f t="shared" si="1"/>
        <v>MA3</v>
      </c>
      <c r="E1260" s="4">
        <f t="shared" si="2"/>
        <v>370.25</v>
      </c>
      <c r="F1260" s="4">
        <f t="shared" si="3"/>
        <v>123.4166667</v>
      </c>
      <c r="G1260" s="4">
        <f t="shared" si="4"/>
        <v>370</v>
      </c>
      <c r="H1260" s="4" t="str">
        <f t="shared" si="5"/>
        <v>Binh thuong</v>
      </c>
    </row>
    <row r="1261" ht="14.25" customHeight="1">
      <c r="A1261" s="4" t="s">
        <v>1278</v>
      </c>
      <c r="B1261" s="4">
        <v>9187.0</v>
      </c>
      <c r="C1261" s="4" t="s">
        <v>886</v>
      </c>
      <c r="D1261" s="4" t="str">
        <f t="shared" si="1"/>
        <v>MA3</v>
      </c>
      <c r="E1261" s="4">
        <f t="shared" si="2"/>
        <v>765.5833333</v>
      </c>
      <c r="F1261" s="4">
        <f t="shared" si="3"/>
        <v>255.1944444</v>
      </c>
      <c r="G1261" s="4">
        <f t="shared" si="4"/>
        <v>766</v>
      </c>
      <c r="H1261" s="4" t="str">
        <f t="shared" si="5"/>
        <v>Binh thuong</v>
      </c>
    </row>
    <row r="1262" ht="14.25" customHeight="1">
      <c r="A1262" s="4" t="s">
        <v>1279</v>
      </c>
      <c r="B1262" s="4">
        <v>50384.0</v>
      </c>
      <c r="C1262" s="4" t="s">
        <v>886</v>
      </c>
      <c r="D1262" s="4" t="str">
        <f t="shared" si="1"/>
        <v>MA3</v>
      </c>
      <c r="E1262" s="4">
        <f t="shared" si="2"/>
        <v>4198.666667</v>
      </c>
      <c r="F1262" s="4">
        <f t="shared" si="3"/>
        <v>1399.555556</v>
      </c>
      <c r="G1262" s="4">
        <f t="shared" si="4"/>
        <v>4199</v>
      </c>
      <c r="H1262" s="4" t="str">
        <f t="shared" si="5"/>
        <v>Uu tien cao</v>
      </c>
    </row>
    <row r="1263" ht="14.25" customHeight="1">
      <c r="A1263" s="4" t="s">
        <v>1280</v>
      </c>
      <c r="B1263" s="4">
        <v>20432.0</v>
      </c>
      <c r="C1263" s="4" t="s">
        <v>886</v>
      </c>
      <c r="D1263" s="4" t="str">
        <f t="shared" si="1"/>
        <v>MA3</v>
      </c>
      <c r="E1263" s="4">
        <f t="shared" si="2"/>
        <v>1702.666667</v>
      </c>
      <c r="F1263" s="4">
        <f t="shared" si="3"/>
        <v>567.5555556</v>
      </c>
      <c r="G1263" s="4">
        <f t="shared" si="4"/>
        <v>1703</v>
      </c>
      <c r="H1263" s="4" t="str">
        <f t="shared" si="5"/>
        <v>Binh thuong</v>
      </c>
    </row>
    <row r="1264" ht="14.25" customHeight="1">
      <c r="A1264" s="4" t="s">
        <v>1281</v>
      </c>
      <c r="B1264" s="4">
        <v>40373.0</v>
      </c>
      <c r="C1264" s="4" t="s">
        <v>886</v>
      </c>
      <c r="D1264" s="4" t="str">
        <f t="shared" si="1"/>
        <v>MA3</v>
      </c>
      <c r="E1264" s="4">
        <f t="shared" si="2"/>
        <v>3364.416667</v>
      </c>
      <c r="F1264" s="4">
        <f t="shared" si="3"/>
        <v>1121.472222</v>
      </c>
      <c r="G1264" s="4">
        <f t="shared" si="4"/>
        <v>3364</v>
      </c>
      <c r="H1264" s="4" t="str">
        <f t="shared" si="5"/>
        <v>Binh thuong</v>
      </c>
    </row>
    <row r="1265" ht="14.25" customHeight="1">
      <c r="A1265" s="4" t="s">
        <v>1282</v>
      </c>
      <c r="B1265" s="4">
        <v>33971.0</v>
      </c>
      <c r="C1265" s="4" t="s">
        <v>886</v>
      </c>
      <c r="D1265" s="4" t="str">
        <f t="shared" si="1"/>
        <v>MA3</v>
      </c>
      <c r="E1265" s="4">
        <f t="shared" si="2"/>
        <v>2830.916667</v>
      </c>
      <c r="F1265" s="4">
        <f t="shared" si="3"/>
        <v>943.6388889</v>
      </c>
      <c r="G1265" s="4">
        <f t="shared" si="4"/>
        <v>2831</v>
      </c>
      <c r="H1265" s="4" t="str">
        <f t="shared" si="5"/>
        <v>Binh thuong</v>
      </c>
    </row>
    <row r="1266" ht="14.25" customHeight="1">
      <c r="A1266" s="4" t="s">
        <v>1283</v>
      </c>
      <c r="B1266" s="4">
        <v>42430.0</v>
      </c>
      <c r="C1266" s="4" t="s">
        <v>886</v>
      </c>
      <c r="D1266" s="4" t="str">
        <f t="shared" si="1"/>
        <v>MA3</v>
      </c>
      <c r="E1266" s="4">
        <f t="shared" si="2"/>
        <v>3535.833333</v>
      </c>
      <c r="F1266" s="4">
        <f t="shared" si="3"/>
        <v>1178.611111</v>
      </c>
      <c r="G1266" s="4">
        <f t="shared" si="4"/>
        <v>3536</v>
      </c>
      <c r="H1266" s="4" t="str">
        <f t="shared" si="5"/>
        <v>Uu tien cao</v>
      </c>
    </row>
    <row r="1267" ht="14.25" customHeight="1">
      <c r="A1267" s="4" t="s">
        <v>1284</v>
      </c>
      <c r="B1267" s="4">
        <v>17545.0</v>
      </c>
      <c r="C1267" s="4" t="s">
        <v>886</v>
      </c>
      <c r="D1267" s="4" t="str">
        <f t="shared" si="1"/>
        <v>MA3</v>
      </c>
      <c r="E1267" s="4">
        <f t="shared" si="2"/>
        <v>1462.083333</v>
      </c>
      <c r="F1267" s="4">
        <f t="shared" si="3"/>
        <v>487.3611111</v>
      </c>
      <c r="G1267" s="4">
        <f t="shared" si="4"/>
        <v>1462</v>
      </c>
      <c r="H1267" s="4" t="str">
        <f t="shared" si="5"/>
        <v>Binh thuong</v>
      </c>
    </row>
    <row r="1268" ht="14.25" customHeight="1">
      <c r="A1268" s="4" t="s">
        <v>1285</v>
      </c>
      <c r="B1268" s="4">
        <v>27944.0</v>
      </c>
      <c r="C1268" s="4" t="s">
        <v>886</v>
      </c>
      <c r="D1268" s="4" t="str">
        <f t="shared" si="1"/>
        <v>MA3</v>
      </c>
      <c r="E1268" s="4">
        <f t="shared" si="2"/>
        <v>2328.666667</v>
      </c>
      <c r="F1268" s="4">
        <f t="shared" si="3"/>
        <v>776.2222222</v>
      </c>
      <c r="G1268" s="4">
        <f t="shared" si="4"/>
        <v>2329</v>
      </c>
      <c r="H1268" s="4" t="str">
        <f t="shared" si="5"/>
        <v>Binh thuong</v>
      </c>
    </row>
    <row r="1269" ht="14.25" customHeight="1">
      <c r="A1269" s="4" t="s">
        <v>1286</v>
      </c>
      <c r="B1269" s="4">
        <v>7043.0</v>
      </c>
      <c r="C1269" s="4" t="s">
        <v>886</v>
      </c>
      <c r="D1269" s="4" t="str">
        <f t="shared" si="1"/>
        <v>MA3</v>
      </c>
      <c r="E1269" s="4">
        <f t="shared" si="2"/>
        <v>586.9166667</v>
      </c>
      <c r="F1269" s="4">
        <f t="shared" si="3"/>
        <v>195.6388889</v>
      </c>
      <c r="G1269" s="4">
        <f t="shared" si="4"/>
        <v>587</v>
      </c>
      <c r="H1269" s="4" t="str">
        <f t="shared" si="5"/>
        <v>Binh thuong</v>
      </c>
    </row>
    <row r="1270" ht="14.25" customHeight="1">
      <c r="A1270" s="4" t="s">
        <v>1287</v>
      </c>
      <c r="B1270" s="4">
        <v>13252.0</v>
      </c>
      <c r="C1270" s="4" t="s">
        <v>886</v>
      </c>
      <c r="D1270" s="4" t="str">
        <f t="shared" si="1"/>
        <v>MA3</v>
      </c>
      <c r="E1270" s="4">
        <f t="shared" si="2"/>
        <v>1104.333333</v>
      </c>
      <c r="F1270" s="4">
        <f t="shared" si="3"/>
        <v>368.1111111</v>
      </c>
      <c r="G1270" s="4">
        <f t="shared" si="4"/>
        <v>1104</v>
      </c>
      <c r="H1270" s="4" t="str">
        <f t="shared" si="5"/>
        <v>Binh thuong</v>
      </c>
    </row>
    <row r="1271" ht="14.25" customHeight="1">
      <c r="A1271" s="4" t="s">
        <v>1288</v>
      </c>
      <c r="B1271" s="4">
        <v>22230.0</v>
      </c>
      <c r="C1271" s="4" t="s">
        <v>886</v>
      </c>
      <c r="D1271" s="4" t="str">
        <f t="shared" si="1"/>
        <v>MA3</v>
      </c>
      <c r="E1271" s="4">
        <f t="shared" si="2"/>
        <v>1852.5</v>
      </c>
      <c r="F1271" s="4">
        <f t="shared" si="3"/>
        <v>617.5</v>
      </c>
      <c r="G1271" s="4">
        <f t="shared" si="4"/>
        <v>1853</v>
      </c>
      <c r="H1271" s="4" t="str">
        <f t="shared" si="5"/>
        <v>Binh thuong</v>
      </c>
    </row>
    <row r="1272" ht="14.25" customHeight="1">
      <c r="A1272" s="4" t="s">
        <v>1289</v>
      </c>
      <c r="B1272" s="4">
        <v>39627.0</v>
      </c>
      <c r="C1272" s="4" t="s">
        <v>886</v>
      </c>
      <c r="D1272" s="4" t="str">
        <f t="shared" si="1"/>
        <v>MA3</v>
      </c>
      <c r="E1272" s="4">
        <f t="shared" si="2"/>
        <v>3302.25</v>
      </c>
      <c r="F1272" s="4">
        <f t="shared" si="3"/>
        <v>1100.75</v>
      </c>
      <c r="G1272" s="4">
        <f t="shared" si="4"/>
        <v>3302</v>
      </c>
      <c r="H1272" s="4" t="str">
        <f t="shared" si="5"/>
        <v>Binh thuong</v>
      </c>
    </row>
    <row r="1273" ht="14.25" customHeight="1">
      <c r="A1273" s="4" t="s">
        <v>1290</v>
      </c>
      <c r="B1273" s="4">
        <v>14296.0</v>
      </c>
      <c r="C1273" s="4" t="s">
        <v>886</v>
      </c>
      <c r="D1273" s="4" t="str">
        <f t="shared" si="1"/>
        <v>MA3</v>
      </c>
      <c r="E1273" s="4">
        <f t="shared" si="2"/>
        <v>1191.333333</v>
      </c>
      <c r="F1273" s="4">
        <f t="shared" si="3"/>
        <v>397.1111111</v>
      </c>
      <c r="G1273" s="4">
        <f t="shared" si="4"/>
        <v>1191</v>
      </c>
      <c r="H1273" s="4" t="str">
        <f t="shared" si="5"/>
        <v>Binh thuong</v>
      </c>
    </row>
    <row r="1274" ht="14.25" customHeight="1">
      <c r="A1274" s="4" t="s">
        <v>1291</v>
      </c>
      <c r="B1274" s="4">
        <v>14701.0</v>
      </c>
      <c r="C1274" s="4" t="s">
        <v>886</v>
      </c>
      <c r="D1274" s="4" t="str">
        <f t="shared" si="1"/>
        <v>MA3</v>
      </c>
      <c r="E1274" s="4">
        <f t="shared" si="2"/>
        <v>1225.083333</v>
      </c>
      <c r="F1274" s="4">
        <f t="shared" si="3"/>
        <v>408.3611111</v>
      </c>
      <c r="G1274" s="4">
        <f t="shared" si="4"/>
        <v>1225</v>
      </c>
      <c r="H1274" s="4" t="str">
        <f t="shared" si="5"/>
        <v>Binh thuong</v>
      </c>
    </row>
    <row r="1275" ht="14.25" customHeight="1">
      <c r="A1275" s="4" t="s">
        <v>1292</v>
      </c>
      <c r="B1275" s="4">
        <v>1861.0</v>
      </c>
      <c r="C1275" s="4" t="s">
        <v>886</v>
      </c>
      <c r="D1275" s="4" t="str">
        <f t="shared" si="1"/>
        <v>MA3</v>
      </c>
      <c r="E1275" s="4">
        <f t="shared" si="2"/>
        <v>155.0833333</v>
      </c>
      <c r="F1275" s="4">
        <f t="shared" si="3"/>
        <v>51.69444444</v>
      </c>
      <c r="G1275" s="4">
        <f t="shared" si="4"/>
        <v>155</v>
      </c>
      <c r="H1275" s="4" t="str">
        <f t="shared" si="5"/>
        <v>Binh thuong</v>
      </c>
    </row>
    <row r="1276" ht="14.25" customHeight="1">
      <c r="A1276" s="4" t="s">
        <v>1293</v>
      </c>
      <c r="B1276" s="4">
        <v>1701.0</v>
      </c>
      <c r="C1276" s="4" t="s">
        <v>886</v>
      </c>
      <c r="D1276" s="4" t="str">
        <f t="shared" si="1"/>
        <v>MA3</v>
      </c>
      <c r="E1276" s="4">
        <f t="shared" si="2"/>
        <v>141.75</v>
      </c>
      <c r="F1276" s="4">
        <f t="shared" si="3"/>
        <v>47.25</v>
      </c>
      <c r="G1276" s="4">
        <f t="shared" si="4"/>
        <v>142</v>
      </c>
      <c r="H1276" s="4" t="str">
        <f t="shared" si="5"/>
        <v>Binh thuong</v>
      </c>
    </row>
    <row r="1277" ht="14.25" customHeight="1">
      <c r="A1277" s="4" t="s">
        <v>1294</v>
      </c>
      <c r="B1277" s="4">
        <v>3084.0</v>
      </c>
      <c r="C1277" s="4" t="s">
        <v>886</v>
      </c>
      <c r="D1277" s="4" t="str">
        <f t="shared" si="1"/>
        <v>MA3</v>
      </c>
      <c r="E1277" s="4">
        <f t="shared" si="2"/>
        <v>257</v>
      </c>
      <c r="F1277" s="4">
        <f t="shared" si="3"/>
        <v>85.66666667</v>
      </c>
      <c r="G1277" s="4">
        <f t="shared" si="4"/>
        <v>257</v>
      </c>
      <c r="H1277" s="4" t="str">
        <f t="shared" si="5"/>
        <v>Binh thuong</v>
      </c>
    </row>
    <row r="1278" ht="14.25" customHeight="1">
      <c r="A1278" s="4" t="s">
        <v>1295</v>
      </c>
      <c r="B1278" s="4">
        <v>3137.0</v>
      </c>
      <c r="C1278" s="4" t="s">
        <v>886</v>
      </c>
      <c r="D1278" s="4" t="str">
        <f t="shared" si="1"/>
        <v>MA3</v>
      </c>
      <c r="E1278" s="4">
        <f t="shared" si="2"/>
        <v>261.4166667</v>
      </c>
      <c r="F1278" s="4">
        <f t="shared" si="3"/>
        <v>87.13888889</v>
      </c>
      <c r="G1278" s="4">
        <f t="shared" si="4"/>
        <v>261</v>
      </c>
      <c r="H1278" s="4" t="str">
        <f t="shared" si="5"/>
        <v>Binh thuong</v>
      </c>
    </row>
    <row r="1279" ht="14.25" customHeight="1">
      <c r="A1279" s="4" t="s">
        <v>1296</v>
      </c>
      <c r="B1279" s="4">
        <v>3847.0</v>
      </c>
      <c r="C1279" s="4" t="s">
        <v>886</v>
      </c>
      <c r="D1279" s="4" t="str">
        <f t="shared" si="1"/>
        <v>MA3</v>
      </c>
      <c r="E1279" s="4">
        <f t="shared" si="2"/>
        <v>320.5833333</v>
      </c>
      <c r="F1279" s="4">
        <f t="shared" si="3"/>
        <v>106.8611111</v>
      </c>
      <c r="G1279" s="4">
        <f t="shared" si="4"/>
        <v>321</v>
      </c>
      <c r="H1279" s="4" t="str">
        <f t="shared" si="5"/>
        <v>Binh thuong</v>
      </c>
    </row>
    <row r="1280" ht="14.25" customHeight="1">
      <c r="A1280" s="4" t="s">
        <v>1297</v>
      </c>
      <c r="B1280" s="4">
        <v>2368.0</v>
      </c>
      <c r="C1280" s="4" t="s">
        <v>886</v>
      </c>
      <c r="D1280" s="4" t="str">
        <f t="shared" si="1"/>
        <v>MA3</v>
      </c>
      <c r="E1280" s="4">
        <f t="shared" si="2"/>
        <v>197.3333333</v>
      </c>
      <c r="F1280" s="4">
        <f t="shared" si="3"/>
        <v>65.77777778</v>
      </c>
      <c r="G1280" s="4">
        <f t="shared" si="4"/>
        <v>197</v>
      </c>
      <c r="H1280" s="4" t="str">
        <f t="shared" si="5"/>
        <v>Binh thuong</v>
      </c>
    </row>
    <row r="1281" ht="14.25" customHeight="1">
      <c r="A1281" s="4" t="s">
        <v>1298</v>
      </c>
      <c r="B1281" s="4">
        <v>1515.0</v>
      </c>
      <c r="C1281" s="4" t="s">
        <v>886</v>
      </c>
      <c r="D1281" s="4" t="str">
        <f t="shared" si="1"/>
        <v>MA3</v>
      </c>
      <c r="E1281" s="4">
        <f t="shared" si="2"/>
        <v>126.25</v>
      </c>
      <c r="F1281" s="4">
        <f t="shared" si="3"/>
        <v>42.08333333</v>
      </c>
      <c r="G1281" s="4">
        <f t="shared" si="4"/>
        <v>126</v>
      </c>
      <c r="H1281" s="4" t="str">
        <f t="shared" si="5"/>
        <v>Binh thuong</v>
      </c>
    </row>
    <row r="1282" ht="14.25" customHeight="1">
      <c r="A1282" s="4" t="s">
        <v>1299</v>
      </c>
      <c r="B1282" s="4">
        <v>2017.0</v>
      </c>
      <c r="C1282" s="4" t="s">
        <v>886</v>
      </c>
      <c r="D1282" s="4" t="str">
        <f t="shared" si="1"/>
        <v>MA3</v>
      </c>
      <c r="E1282" s="4">
        <f t="shared" si="2"/>
        <v>168.0833333</v>
      </c>
      <c r="F1282" s="4">
        <f t="shared" si="3"/>
        <v>56.02777778</v>
      </c>
      <c r="G1282" s="4">
        <f t="shared" si="4"/>
        <v>168</v>
      </c>
      <c r="H1282" s="4" t="str">
        <f t="shared" si="5"/>
        <v>Binh thuong</v>
      </c>
    </row>
    <row r="1283" ht="14.25" customHeight="1">
      <c r="A1283" s="4" t="s">
        <v>1300</v>
      </c>
      <c r="B1283" s="4">
        <v>24860.0</v>
      </c>
      <c r="C1283" s="4" t="s">
        <v>886</v>
      </c>
      <c r="D1283" s="4" t="str">
        <f t="shared" si="1"/>
        <v>MA3</v>
      </c>
      <c r="E1283" s="4">
        <f t="shared" si="2"/>
        <v>2071.666667</v>
      </c>
      <c r="F1283" s="4">
        <f t="shared" si="3"/>
        <v>690.5555556</v>
      </c>
      <c r="G1283" s="4">
        <f t="shared" si="4"/>
        <v>2072</v>
      </c>
      <c r="H1283" s="4" t="str">
        <f t="shared" si="5"/>
        <v>Binh thuong</v>
      </c>
    </row>
    <row r="1284" ht="14.25" customHeight="1">
      <c r="A1284" s="4" t="s">
        <v>1301</v>
      </c>
      <c r="B1284" s="4">
        <v>12882.0</v>
      </c>
      <c r="C1284" s="4" t="s">
        <v>886</v>
      </c>
      <c r="D1284" s="4" t="str">
        <f t="shared" si="1"/>
        <v>MA3</v>
      </c>
      <c r="E1284" s="4">
        <f t="shared" si="2"/>
        <v>1073.5</v>
      </c>
      <c r="F1284" s="4">
        <f t="shared" si="3"/>
        <v>357.8333333</v>
      </c>
      <c r="G1284" s="4">
        <f t="shared" si="4"/>
        <v>1074</v>
      </c>
      <c r="H1284" s="4" t="str">
        <f t="shared" si="5"/>
        <v>Binh thuong</v>
      </c>
    </row>
    <row r="1285" ht="14.25" customHeight="1">
      <c r="A1285" s="4" t="s">
        <v>1302</v>
      </c>
      <c r="B1285" s="4">
        <v>11550.0</v>
      </c>
      <c r="C1285" s="4" t="s">
        <v>886</v>
      </c>
      <c r="D1285" s="4" t="str">
        <f t="shared" si="1"/>
        <v>MA3</v>
      </c>
      <c r="E1285" s="4">
        <f t="shared" si="2"/>
        <v>962.5</v>
      </c>
      <c r="F1285" s="4">
        <f t="shared" si="3"/>
        <v>320.8333333</v>
      </c>
      <c r="G1285" s="4">
        <f t="shared" si="4"/>
        <v>963</v>
      </c>
      <c r="H1285" s="4" t="str">
        <f t="shared" si="5"/>
        <v>Binh thuong</v>
      </c>
    </row>
    <row r="1286" ht="14.25" customHeight="1">
      <c r="A1286" s="4" t="s">
        <v>1303</v>
      </c>
      <c r="B1286" s="4">
        <v>8846.0</v>
      </c>
      <c r="C1286" s="4" t="s">
        <v>886</v>
      </c>
      <c r="D1286" s="4" t="str">
        <f t="shared" si="1"/>
        <v>MA3</v>
      </c>
      <c r="E1286" s="4">
        <f t="shared" si="2"/>
        <v>737.1666667</v>
      </c>
      <c r="F1286" s="4">
        <f t="shared" si="3"/>
        <v>245.7222222</v>
      </c>
      <c r="G1286" s="4">
        <f t="shared" si="4"/>
        <v>737</v>
      </c>
      <c r="H1286" s="4" t="str">
        <f t="shared" si="5"/>
        <v>Binh thuong</v>
      </c>
    </row>
    <row r="1287" ht="14.25" customHeight="1">
      <c r="A1287" s="4" t="s">
        <v>1304</v>
      </c>
      <c r="B1287" s="4">
        <v>8527.0</v>
      </c>
      <c r="C1287" s="4" t="s">
        <v>886</v>
      </c>
      <c r="D1287" s="4" t="str">
        <f t="shared" si="1"/>
        <v>MA3</v>
      </c>
      <c r="E1287" s="4">
        <f t="shared" si="2"/>
        <v>710.5833333</v>
      </c>
      <c r="F1287" s="4">
        <f t="shared" si="3"/>
        <v>236.8611111</v>
      </c>
      <c r="G1287" s="4">
        <f t="shared" si="4"/>
        <v>711</v>
      </c>
      <c r="H1287" s="4" t="str">
        <f t="shared" si="5"/>
        <v>Binh thuong</v>
      </c>
    </row>
    <row r="1288" ht="14.25" customHeight="1">
      <c r="A1288" s="4" t="s">
        <v>1305</v>
      </c>
      <c r="B1288" s="4">
        <v>5010.0</v>
      </c>
      <c r="C1288" s="4" t="s">
        <v>886</v>
      </c>
      <c r="D1288" s="4" t="str">
        <f t="shared" si="1"/>
        <v>MA3</v>
      </c>
      <c r="E1288" s="4">
        <f t="shared" si="2"/>
        <v>417.5</v>
      </c>
      <c r="F1288" s="4">
        <f t="shared" si="3"/>
        <v>139.1666667</v>
      </c>
      <c r="G1288" s="4">
        <f t="shared" si="4"/>
        <v>418</v>
      </c>
      <c r="H1288" s="4" t="str">
        <f t="shared" si="5"/>
        <v>Binh thuong</v>
      </c>
    </row>
    <row r="1289" ht="14.25" customHeight="1">
      <c r="A1289" s="4" t="s">
        <v>1306</v>
      </c>
      <c r="B1289" s="4">
        <v>8078.0</v>
      </c>
      <c r="C1289" s="4" t="s">
        <v>886</v>
      </c>
      <c r="D1289" s="4" t="str">
        <f t="shared" si="1"/>
        <v>MA3</v>
      </c>
      <c r="E1289" s="4">
        <f t="shared" si="2"/>
        <v>673.1666667</v>
      </c>
      <c r="F1289" s="4">
        <f t="shared" si="3"/>
        <v>224.3888889</v>
      </c>
      <c r="G1289" s="4">
        <f t="shared" si="4"/>
        <v>673</v>
      </c>
      <c r="H1289" s="4" t="str">
        <f t="shared" si="5"/>
        <v>Binh thuong</v>
      </c>
    </row>
    <row r="1290" ht="14.25" customHeight="1">
      <c r="A1290" s="4" t="s">
        <v>1307</v>
      </c>
      <c r="B1290" s="4">
        <v>13969.0</v>
      </c>
      <c r="C1290" s="4" t="s">
        <v>886</v>
      </c>
      <c r="D1290" s="4" t="str">
        <f t="shared" si="1"/>
        <v>MA3</v>
      </c>
      <c r="E1290" s="4">
        <f t="shared" si="2"/>
        <v>1164.083333</v>
      </c>
      <c r="F1290" s="4">
        <f t="shared" si="3"/>
        <v>388.0277778</v>
      </c>
      <c r="G1290" s="4">
        <f t="shared" si="4"/>
        <v>1164</v>
      </c>
      <c r="H1290" s="4" t="str">
        <f t="shared" si="5"/>
        <v>Binh thuong</v>
      </c>
    </row>
    <row r="1291" ht="14.25" customHeight="1">
      <c r="A1291" s="4" t="s">
        <v>1308</v>
      </c>
      <c r="B1291" s="4">
        <v>4286.0</v>
      </c>
      <c r="C1291" s="4" t="s">
        <v>886</v>
      </c>
      <c r="D1291" s="4" t="str">
        <f t="shared" si="1"/>
        <v>MA3</v>
      </c>
      <c r="E1291" s="4">
        <f t="shared" si="2"/>
        <v>357.1666667</v>
      </c>
      <c r="F1291" s="4">
        <f t="shared" si="3"/>
        <v>119.0555556</v>
      </c>
      <c r="G1291" s="4">
        <f t="shared" si="4"/>
        <v>357</v>
      </c>
      <c r="H1291" s="4" t="str">
        <f t="shared" si="5"/>
        <v>Binh thuong</v>
      </c>
    </row>
    <row r="1292" ht="14.25" customHeight="1">
      <c r="A1292" s="4" t="s">
        <v>1309</v>
      </c>
      <c r="B1292" s="4">
        <v>7153.0</v>
      </c>
      <c r="C1292" s="4" t="s">
        <v>886</v>
      </c>
      <c r="D1292" s="4" t="str">
        <f t="shared" si="1"/>
        <v>MA3</v>
      </c>
      <c r="E1292" s="4">
        <f t="shared" si="2"/>
        <v>596.0833333</v>
      </c>
      <c r="F1292" s="4">
        <f t="shared" si="3"/>
        <v>198.6944444</v>
      </c>
      <c r="G1292" s="4">
        <f t="shared" si="4"/>
        <v>596</v>
      </c>
      <c r="H1292" s="4" t="str">
        <f t="shared" si="5"/>
        <v>Binh thuong</v>
      </c>
    </row>
    <row r="1293" ht="14.25" customHeight="1">
      <c r="A1293" s="4" t="s">
        <v>1310</v>
      </c>
      <c r="B1293" s="4">
        <v>7579.0</v>
      </c>
      <c r="C1293" s="4" t="s">
        <v>886</v>
      </c>
      <c r="D1293" s="4" t="str">
        <f t="shared" si="1"/>
        <v>MA3</v>
      </c>
      <c r="E1293" s="4">
        <f t="shared" si="2"/>
        <v>631.5833333</v>
      </c>
      <c r="F1293" s="4">
        <f t="shared" si="3"/>
        <v>210.5277778</v>
      </c>
      <c r="G1293" s="4">
        <f t="shared" si="4"/>
        <v>632</v>
      </c>
      <c r="H1293" s="4" t="str">
        <f t="shared" si="5"/>
        <v>Binh thuong</v>
      </c>
    </row>
    <row r="1294" ht="14.25" customHeight="1">
      <c r="A1294" s="4" t="s">
        <v>1311</v>
      </c>
      <c r="B1294" s="4">
        <v>333158.0</v>
      </c>
      <c r="C1294" s="4" t="s">
        <v>886</v>
      </c>
      <c r="D1294" s="4" t="str">
        <f t="shared" si="1"/>
        <v>MA3</v>
      </c>
      <c r="E1294" s="4">
        <f t="shared" si="2"/>
        <v>27763.16667</v>
      </c>
      <c r="F1294" s="4">
        <f t="shared" si="3"/>
        <v>9254.388889</v>
      </c>
      <c r="G1294" s="4">
        <f t="shared" si="4"/>
        <v>27763</v>
      </c>
      <c r="H1294" s="4" t="str">
        <f t="shared" si="5"/>
        <v>Uu tien cao</v>
      </c>
    </row>
    <row r="1295" ht="14.25" customHeight="1">
      <c r="A1295" s="4" t="s">
        <v>1312</v>
      </c>
      <c r="B1295" s="4">
        <v>10843.0</v>
      </c>
      <c r="C1295" s="4" t="s">
        <v>886</v>
      </c>
      <c r="D1295" s="4" t="str">
        <f t="shared" si="1"/>
        <v>MA3</v>
      </c>
      <c r="E1295" s="4">
        <f t="shared" si="2"/>
        <v>903.5833333</v>
      </c>
      <c r="F1295" s="4">
        <f t="shared" si="3"/>
        <v>301.1944444</v>
      </c>
      <c r="G1295" s="4">
        <f t="shared" si="4"/>
        <v>904</v>
      </c>
      <c r="H1295" s="4" t="str">
        <f t="shared" si="5"/>
        <v>Binh thuong</v>
      </c>
    </row>
    <row r="1296" ht="14.25" customHeight="1">
      <c r="A1296" s="4" t="s">
        <v>1313</v>
      </c>
      <c r="B1296" s="4">
        <v>45477.0</v>
      </c>
      <c r="C1296" s="4" t="s">
        <v>886</v>
      </c>
      <c r="D1296" s="4" t="str">
        <f t="shared" si="1"/>
        <v>MA3</v>
      </c>
      <c r="E1296" s="4">
        <f t="shared" si="2"/>
        <v>3789.75</v>
      </c>
      <c r="F1296" s="4">
        <f t="shared" si="3"/>
        <v>1263.25</v>
      </c>
      <c r="G1296" s="4">
        <f t="shared" si="4"/>
        <v>3790</v>
      </c>
      <c r="H1296" s="4" t="str">
        <f t="shared" si="5"/>
        <v>Uu tien cao</v>
      </c>
    </row>
    <row r="1297" ht="14.25" customHeight="1">
      <c r="A1297" s="4" t="s">
        <v>1314</v>
      </c>
      <c r="B1297" s="4">
        <v>332757.0</v>
      </c>
      <c r="C1297" s="4" t="s">
        <v>886</v>
      </c>
      <c r="D1297" s="4" t="str">
        <f t="shared" si="1"/>
        <v>MA3</v>
      </c>
      <c r="E1297" s="4">
        <f t="shared" si="2"/>
        <v>27729.75</v>
      </c>
      <c r="F1297" s="4">
        <f t="shared" si="3"/>
        <v>9243.25</v>
      </c>
      <c r="G1297" s="4">
        <f t="shared" si="4"/>
        <v>27730</v>
      </c>
      <c r="H1297" s="4" t="str">
        <f t="shared" si="5"/>
        <v>Uu tien cao</v>
      </c>
    </row>
    <row r="1298" ht="14.25" customHeight="1">
      <c r="A1298" s="4" t="s">
        <v>1315</v>
      </c>
      <c r="B1298" s="4">
        <v>86059.0</v>
      </c>
      <c r="C1298" s="4" t="s">
        <v>886</v>
      </c>
      <c r="D1298" s="4" t="str">
        <f t="shared" si="1"/>
        <v>MA3</v>
      </c>
      <c r="E1298" s="4">
        <f t="shared" si="2"/>
        <v>7171.583333</v>
      </c>
      <c r="F1298" s="4">
        <f t="shared" si="3"/>
        <v>2390.527778</v>
      </c>
      <c r="G1298" s="4">
        <f t="shared" si="4"/>
        <v>7172</v>
      </c>
      <c r="H1298" s="4" t="str">
        <f t="shared" si="5"/>
        <v>Uu tien cao</v>
      </c>
    </row>
    <row r="1299" ht="14.25" customHeight="1">
      <c r="A1299" s="4" t="s">
        <v>1316</v>
      </c>
      <c r="B1299" s="4">
        <v>146338.0</v>
      </c>
      <c r="C1299" s="4" t="s">
        <v>886</v>
      </c>
      <c r="D1299" s="4" t="str">
        <f t="shared" si="1"/>
        <v>MA3</v>
      </c>
      <c r="E1299" s="4">
        <f t="shared" si="2"/>
        <v>12194.83333</v>
      </c>
      <c r="F1299" s="4">
        <f t="shared" si="3"/>
        <v>4064.944444</v>
      </c>
      <c r="G1299" s="4">
        <f t="shared" si="4"/>
        <v>12195</v>
      </c>
      <c r="H1299" s="4" t="str">
        <f t="shared" si="5"/>
        <v>Uu tien cao</v>
      </c>
    </row>
    <row r="1300" ht="14.25" customHeight="1">
      <c r="A1300" s="4" t="s">
        <v>1317</v>
      </c>
      <c r="B1300" s="4">
        <v>140230.0</v>
      </c>
      <c r="C1300" s="4" t="s">
        <v>886</v>
      </c>
      <c r="D1300" s="4" t="str">
        <f t="shared" si="1"/>
        <v>MA3</v>
      </c>
      <c r="E1300" s="4">
        <f t="shared" si="2"/>
        <v>11685.83333</v>
      </c>
      <c r="F1300" s="4">
        <f t="shared" si="3"/>
        <v>3895.277778</v>
      </c>
      <c r="G1300" s="4">
        <f t="shared" si="4"/>
        <v>11686</v>
      </c>
      <c r="H1300" s="4" t="str">
        <f t="shared" si="5"/>
        <v>Uu tien cao</v>
      </c>
    </row>
    <row r="1301" ht="14.25" customHeight="1">
      <c r="A1301" s="4" t="s">
        <v>1318</v>
      </c>
      <c r="B1301" s="4">
        <v>139092.0</v>
      </c>
      <c r="C1301" s="4" t="s">
        <v>886</v>
      </c>
      <c r="D1301" s="4" t="str">
        <f t="shared" si="1"/>
        <v>MA3</v>
      </c>
      <c r="E1301" s="4">
        <f t="shared" si="2"/>
        <v>11591</v>
      </c>
      <c r="F1301" s="4">
        <f t="shared" si="3"/>
        <v>3863.666667</v>
      </c>
      <c r="G1301" s="4">
        <f t="shared" si="4"/>
        <v>11591</v>
      </c>
      <c r="H1301" s="4" t="str">
        <f t="shared" si="5"/>
        <v>Uu tien cao</v>
      </c>
    </row>
    <row r="1302" ht="14.25" customHeight="1">
      <c r="A1302" s="4" t="s">
        <v>1319</v>
      </c>
      <c r="B1302" s="4">
        <v>29966.0</v>
      </c>
      <c r="C1302" s="4" t="s">
        <v>886</v>
      </c>
      <c r="D1302" s="4" t="str">
        <f t="shared" si="1"/>
        <v>MA3</v>
      </c>
      <c r="E1302" s="4">
        <f t="shared" si="2"/>
        <v>2497.166667</v>
      </c>
      <c r="F1302" s="4">
        <f t="shared" si="3"/>
        <v>832.3888889</v>
      </c>
      <c r="G1302" s="4">
        <f t="shared" si="4"/>
        <v>2497</v>
      </c>
      <c r="H1302" s="4" t="str">
        <f t="shared" si="5"/>
        <v>Binh thuong</v>
      </c>
    </row>
    <row r="1303" ht="14.25" customHeight="1">
      <c r="A1303" s="4" t="s">
        <v>1320</v>
      </c>
      <c r="B1303" s="4">
        <v>112506.0</v>
      </c>
      <c r="C1303" s="4" t="s">
        <v>886</v>
      </c>
      <c r="D1303" s="4" t="str">
        <f t="shared" si="1"/>
        <v>MA3</v>
      </c>
      <c r="E1303" s="4">
        <f t="shared" si="2"/>
        <v>9375.5</v>
      </c>
      <c r="F1303" s="4">
        <f t="shared" si="3"/>
        <v>3125.166667</v>
      </c>
      <c r="G1303" s="4">
        <f t="shared" si="4"/>
        <v>9376</v>
      </c>
      <c r="H1303" s="4" t="str">
        <f t="shared" si="5"/>
        <v>Uu tien cao</v>
      </c>
    </row>
    <row r="1304" ht="14.25" customHeight="1">
      <c r="A1304" s="4" t="s">
        <v>1321</v>
      </c>
      <c r="B1304" s="4">
        <v>99038.0</v>
      </c>
      <c r="C1304" s="4" t="s">
        <v>886</v>
      </c>
      <c r="D1304" s="4" t="str">
        <f t="shared" si="1"/>
        <v>MA3</v>
      </c>
      <c r="E1304" s="4">
        <f t="shared" si="2"/>
        <v>8253.166667</v>
      </c>
      <c r="F1304" s="4">
        <f t="shared" si="3"/>
        <v>2751.055556</v>
      </c>
      <c r="G1304" s="4">
        <f t="shared" si="4"/>
        <v>8253</v>
      </c>
      <c r="H1304" s="4" t="str">
        <f t="shared" si="5"/>
        <v>Uu tien cao</v>
      </c>
    </row>
    <row r="1305" ht="14.25" customHeight="1">
      <c r="A1305" s="4" t="s">
        <v>1322</v>
      </c>
      <c r="B1305" s="4">
        <v>82339.0</v>
      </c>
      <c r="C1305" s="4" t="s">
        <v>886</v>
      </c>
      <c r="D1305" s="4" t="str">
        <f t="shared" si="1"/>
        <v>MA3</v>
      </c>
      <c r="E1305" s="4">
        <f t="shared" si="2"/>
        <v>6861.583333</v>
      </c>
      <c r="F1305" s="4">
        <f t="shared" si="3"/>
        <v>2287.194444</v>
      </c>
      <c r="G1305" s="4">
        <f t="shared" si="4"/>
        <v>6862</v>
      </c>
      <c r="H1305" s="4" t="str">
        <f t="shared" si="5"/>
        <v>Uu tien cao</v>
      </c>
    </row>
    <row r="1306" ht="14.25" customHeight="1">
      <c r="A1306" s="4" t="s">
        <v>1323</v>
      </c>
      <c r="B1306" s="4">
        <v>139133.0</v>
      </c>
      <c r="C1306" s="4" t="s">
        <v>886</v>
      </c>
      <c r="D1306" s="4" t="str">
        <f t="shared" si="1"/>
        <v>MA3</v>
      </c>
      <c r="E1306" s="4">
        <f t="shared" si="2"/>
        <v>11594.41667</v>
      </c>
      <c r="F1306" s="4">
        <f t="shared" si="3"/>
        <v>3864.805556</v>
      </c>
      <c r="G1306" s="4">
        <f t="shared" si="4"/>
        <v>11594</v>
      </c>
      <c r="H1306" s="4" t="str">
        <f t="shared" si="5"/>
        <v>Uu tien cao</v>
      </c>
    </row>
    <row r="1307" ht="14.25" customHeight="1">
      <c r="A1307" s="4" t="s">
        <v>1324</v>
      </c>
      <c r="B1307" s="4">
        <v>86352.0</v>
      </c>
      <c r="C1307" s="4" t="s">
        <v>886</v>
      </c>
      <c r="D1307" s="4" t="str">
        <f t="shared" si="1"/>
        <v>MA3</v>
      </c>
      <c r="E1307" s="4">
        <f t="shared" si="2"/>
        <v>7196</v>
      </c>
      <c r="F1307" s="4">
        <f t="shared" si="3"/>
        <v>2398.666667</v>
      </c>
      <c r="G1307" s="4">
        <f t="shared" si="4"/>
        <v>7196</v>
      </c>
      <c r="H1307" s="4" t="str">
        <f t="shared" si="5"/>
        <v>Uu tien cao</v>
      </c>
    </row>
    <row r="1308" ht="14.25" customHeight="1">
      <c r="A1308" s="4" t="s">
        <v>1325</v>
      </c>
      <c r="B1308" s="4">
        <v>100731.0</v>
      </c>
      <c r="C1308" s="4" t="s">
        <v>886</v>
      </c>
      <c r="D1308" s="4" t="str">
        <f t="shared" si="1"/>
        <v>MA3</v>
      </c>
      <c r="E1308" s="4">
        <f t="shared" si="2"/>
        <v>8394.25</v>
      </c>
      <c r="F1308" s="4">
        <f t="shared" si="3"/>
        <v>2798.083333</v>
      </c>
      <c r="G1308" s="4">
        <f t="shared" si="4"/>
        <v>8394</v>
      </c>
      <c r="H1308" s="4" t="str">
        <f t="shared" si="5"/>
        <v>Uu tien cao</v>
      </c>
    </row>
    <row r="1309" ht="14.25" customHeight="1">
      <c r="A1309" s="4" t="s">
        <v>1326</v>
      </c>
      <c r="B1309" s="4">
        <v>65752.0</v>
      </c>
      <c r="C1309" s="4" t="s">
        <v>886</v>
      </c>
      <c r="D1309" s="4" t="str">
        <f t="shared" si="1"/>
        <v>MA3</v>
      </c>
      <c r="E1309" s="4">
        <f t="shared" si="2"/>
        <v>5479.333333</v>
      </c>
      <c r="F1309" s="4">
        <f t="shared" si="3"/>
        <v>1826.444444</v>
      </c>
      <c r="G1309" s="4">
        <f t="shared" si="4"/>
        <v>5479</v>
      </c>
      <c r="H1309" s="4" t="str">
        <f t="shared" si="5"/>
        <v>Uu tien cao</v>
      </c>
    </row>
    <row r="1310" ht="14.25" customHeight="1">
      <c r="A1310" s="4" t="s">
        <v>1327</v>
      </c>
      <c r="B1310" s="4">
        <v>87936.0</v>
      </c>
      <c r="C1310" s="4" t="s">
        <v>886</v>
      </c>
      <c r="D1310" s="4" t="str">
        <f t="shared" si="1"/>
        <v>MA3</v>
      </c>
      <c r="E1310" s="4">
        <f t="shared" si="2"/>
        <v>7328</v>
      </c>
      <c r="F1310" s="4">
        <f t="shared" si="3"/>
        <v>2442.666667</v>
      </c>
      <c r="G1310" s="4">
        <f t="shared" si="4"/>
        <v>7328</v>
      </c>
      <c r="H1310" s="4" t="str">
        <f t="shared" si="5"/>
        <v>Uu tien cao</v>
      </c>
    </row>
    <row r="1311" ht="14.25" customHeight="1">
      <c r="A1311" s="4" t="s">
        <v>1328</v>
      </c>
      <c r="B1311" s="4">
        <v>73236.0</v>
      </c>
      <c r="C1311" s="4" t="s">
        <v>886</v>
      </c>
      <c r="D1311" s="4" t="str">
        <f t="shared" si="1"/>
        <v>MA3</v>
      </c>
      <c r="E1311" s="4">
        <f t="shared" si="2"/>
        <v>6103</v>
      </c>
      <c r="F1311" s="4">
        <f t="shared" si="3"/>
        <v>2034.333333</v>
      </c>
      <c r="G1311" s="4">
        <f t="shared" si="4"/>
        <v>6103</v>
      </c>
      <c r="H1311" s="4" t="str">
        <f t="shared" si="5"/>
        <v>Uu tien cao</v>
      </c>
    </row>
    <row r="1312" ht="14.25" customHeight="1">
      <c r="A1312" s="4" t="s">
        <v>1329</v>
      </c>
      <c r="B1312" s="4">
        <v>125028.0</v>
      </c>
      <c r="C1312" s="4" t="s">
        <v>886</v>
      </c>
      <c r="D1312" s="4" t="str">
        <f t="shared" si="1"/>
        <v>MA3</v>
      </c>
      <c r="E1312" s="4">
        <f t="shared" si="2"/>
        <v>10419</v>
      </c>
      <c r="F1312" s="4">
        <f t="shared" si="3"/>
        <v>3473</v>
      </c>
      <c r="G1312" s="4">
        <f t="shared" si="4"/>
        <v>10419</v>
      </c>
      <c r="H1312" s="4" t="str">
        <f t="shared" si="5"/>
        <v>Uu tien cao</v>
      </c>
    </row>
    <row r="1313" ht="14.25" customHeight="1">
      <c r="A1313" s="4" t="s">
        <v>1330</v>
      </c>
      <c r="B1313" s="4">
        <v>84709.0</v>
      </c>
      <c r="C1313" s="4" t="s">
        <v>886</v>
      </c>
      <c r="D1313" s="4" t="str">
        <f t="shared" si="1"/>
        <v>MA3</v>
      </c>
      <c r="E1313" s="4">
        <f t="shared" si="2"/>
        <v>7059.083333</v>
      </c>
      <c r="F1313" s="4">
        <f t="shared" si="3"/>
        <v>2353.027778</v>
      </c>
      <c r="G1313" s="4">
        <f t="shared" si="4"/>
        <v>7059</v>
      </c>
      <c r="H1313" s="4" t="str">
        <f t="shared" si="5"/>
        <v>Uu tien cao</v>
      </c>
    </row>
    <row r="1314" ht="14.25" customHeight="1">
      <c r="A1314" s="4" t="s">
        <v>1331</v>
      </c>
      <c r="B1314" s="4">
        <v>82628.0</v>
      </c>
      <c r="C1314" s="4" t="s">
        <v>886</v>
      </c>
      <c r="D1314" s="4" t="str">
        <f t="shared" si="1"/>
        <v>MA3</v>
      </c>
      <c r="E1314" s="4">
        <f t="shared" si="2"/>
        <v>6885.666667</v>
      </c>
      <c r="F1314" s="4">
        <f t="shared" si="3"/>
        <v>2295.222222</v>
      </c>
      <c r="G1314" s="4">
        <f t="shared" si="4"/>
        <v>6886</v>
      </c>
      <c r="H1314" s="4" t="str">
        <f t="shared" si="5"/>
        <v>Uu tien cao</v>
      </c>
    </row>
    <row r="1315" ht="14.25" customHeight="1">
      <c r="A1315" s="4" t="s">
        <v>1332</v>
      </c>
      <c r="B1315" s="4">
        <v>88292.0</v>
      </c>
      <c r="C1315" s="4" t="s">
        <v>886</v>
      </c>
      <c r="D1315" s="4" t="str">
        <f t="shared" si="1"/>
        <v>MA3</v>
      </c>
      <c r="E1315" s="4">
        <f t="shared" si="2"/>
        <v>7357.666667</v>
      </c>
      <c r="F1315" s="4">
        <f t="shared" si="3"/>
        <v>2452.555556</v>
      </c>
      <c r="G1315" s="4">
        <f t="shared" si="4"/>
        <v>7358</v>
      </c>
      <c r="H1315" s="4" t="str">
        <f t="shared" si="5"/>
        <v>Uu tien cao</v>
      </c>
    </row>
    <row r="1316" ht="14.25" customHeight="1">
      <c r="A1316" s="4" t="s">
        <v>1333</v>
      </c>
      <c r="B1316" s="4">
        <v>170387.0</v>
      </c>
      <c r="C1316" s="4" t="s">
        <v>886</v>
      </c>
      <c r="D1316" s="4" t="str">
        <f t="shared" si="1"/>
        <v>MA3</v>
      </c>
      <c r="E1316" s="4">
        <f t="shared" si="2"/>
        <v>14198.91667</v>
      </c>
      <c r="F1316" s="4">
        <f t="shared" si="3"/>
        <v>4732.972222</v>
      </c>
      <c r="G1316" s="4">
        <f t="shared" si="4"/>
        <v>14199</v>
      </c>
      <c r="H1316" s="4" t="str">
        <f t="shared" si="5"/>
        <v>Uu tien cao</v>
      </c>
    </row>
    <row r="1317" ht="14.25" customHeight="1">
      <c r="A1317" s="4" t="s">
        <v>1334</v>
      </c>
      <c r="B1317" s="4">
        <v>105086.0</v>
      </c>
      <c r="C1317" s="4" t="s">
        <v>886</v>
      </c>
      <c r="D1317" s="4" t="str">
        <f t="shared" si="1"/>
        <v>MA3</v>
      </c>
      <c r="E1317" s="4">
        <f t="shared" si="2"/>
        <v>8757.166667</v>
      </c>
      <c r="F1317" s="4">
        <f t="shared" si="3"/>
        <v>2919.055556</v>
      </c>
      <c r="G1317" s="4">
        <f t="shared" si="4"/>
        <v>8757</v>
      </c>
      <c r="H1317" s="4" t="str">
        <f t="shared" si="5"/>
        <v>Uu tien cao</v>
      </c>
    </row>
    <row r="1318" ht="14.25" customHeight="1">
      <c r="A1318" s="4" t="s">
        <v>1335</v>
      </c>
      <c r="B1318" s="4">
        <v>112890.0</v>
      </c>
      <c r="C1318" s="4" t="s">
        <v>886</v>
      </c>
      <c r="D1318" s="4" t="str">
        <f t="shared" si="1"/>
        <v>MA3</v>
      </c>
      <c r="E1318" s="4">
        <f t="shared" si="2"/>
        <v>9407.5</v>
      </c>
      <c r="F1318" s="4">
        <f t="shared" si="3"/>
        <v>3135.833333</v>
      </c>
      <c r="G1318" s="4">
        <f t="shared" si="4"/>
        <v>9408</v>
      </c>
      <c r="H1318" s="4" t="str">
        <f t="shared" si="5"/>
        <v>Uu tien cao</v>
      </c>
    </row>
    <row r="1319" ht="14.25" customHeight="1">
      <c r="A1319" s="4" t="s">
        <v>1336</v>
      </c>
      <c r="B1319" s="4">
        <v>95003.0</v>
      </c>
      <c r="C1319" s="4" t="s">
        <v>886</v>
      </c>
      <c r="D1319" s="4" t="str">
        <f t="shared" si="1"/>
        <v>MA3</v>
      </c>
      <c r="E1319" s="4">
        <f t="shared" si="2"/>
        <v>7916.916667</v>
      </c>
      <c r="F1319" s="4">
        <f t="shared" si="3"/>
        <v>2638.972222</v>
      </c>
      <c r="G1319" s="4">
        <f t="shared" si="4"/>
        <v>7917</v>
      </c>
      <c r="H1319" s="4" t="str">
        <f t="shared" si="5"/>
        <v>Uu tien cao</v>
      </c>
    </row>
    <row r="1320" ht="14.25" customHeight="1">
      <c r="A1320" s="4" t="s">
        <v>1337</v>
      </c>
      <c r="B1320" s="4">
        <v>51291.0</v>
      </c>
      <c r="C1320" s="4" t="s">
        <v>886</v>
      </c>
      <c r="D1320" s="4" t="str">
        <f t="shared" si="1"/>
        <v>MA3</v>
      </c>
      <c r="E1320" s="4">
        <f t="shared" si="2"/>
        <v>4274.25</v>
      </c>
      <c r="F1320" s="4">
        <f t="shared" si="3"/>
        <v>1424.75</v>
      </c>
      <c r="G1320" s="4">
        <f t="shared" si="4"/>
        <v>4274</v>
      </c>
      <c r="H1320" s="4" t="str">
        <f t="shared" si="5"/>
        <v>Uu tien cao</v>
      </c>
    </row>
    <row r="1321" ht="14.25" customHeight="1">
      <c r="A1321" s="4" t="s">
        <v>1338</v>
      </c>
      <c r="B1321" s="4">
        <v>44523.0</v>
      </c>
      <c r="C1321" s="4" t="s">
        <v>886</v>
      </c>
      <c r="D1321" s="4" t="str">
        <f t="shared" si="1"/>
        <v>MA3</v>
      </c>
      <c r="E1321" s="4">
        <f t="shared" si="2"/>
        <v>3710.25</v>
      </c>
      <c r="F1321" s="4">
        <f t="shared" si="3"/>
        <v>1236.75</v>
      </c>
      <c r="G1321" s="4">
        <f t="shared" si="4"/>
        <v>3710</v>
      </c>
      <c r="H1321" s="4" t="str">
        <f t="shared" si="5"/>
        <v>Uu tien cao</v>
      </c>
    </row>
    <row r="1322" ht="14.25" customHeight="1">
      <c r="A1322" s="4" t="s">
        <v>1339</v>
      </c>
      <c r="B1322" s="4">
        <v>33016.0</v>
      </c>
      <c r="C1322" s="4" t="s">
        <v>886</v>
      </c>
      <c r="D1322" s="4" t="str">
        <f t="shared" si="1"/>
        <v>MA3</v>
      </c>
      <c r="E1322" s="4">
        <f t="shared" si="2"/>
        <v>2751.333333</v>
      </c>
      <c r="F1322" s="4">
        <f t="shared" si="3"/>
        <v>917.1111111</v>
      </c>
      <c r="G1322" s="4">
        <f t="shared" si="4"/>
        <v>2751</v>
      </c>
      <c r="H1322" s="4" t="str">
        <f t="shared" si="5"/>
        <v>Binh thuong</v>
      </c>
    </row>
    <row r="1323" ht="14.25" customHeight="1">
      <c r="A1323" s="4" t="s">
        <v>1340</v>
      </c>
      <c r="B1323" s="4">
        <v>11621.0</v>
      </c>
      <c r="C1323" s="4" t="s">
        <v>886</v>
      </c>
      <c r="D1323" s="4" t="str">
        <f t="shared" si="1"/>
        <v>MA3</v>
      </c>
      <c r="E1323" s="4">
        <f t="shared" si="2"/>
        <v>968.4166667</v>
      </c>
      <c r="F1323" s="4">
        <f t="shared" si="3"/>
        <v>322.8055556</v>
      </c>
      <c r="G1323" s="4">
        <f t="shared" si="4"/>
        <v>968</v>
      </c>
      <c r="H1323" s="4" t="str">
        <f t="shared" si="5"/>
        <v>Binh thuong</v>
      </c>
    </row>
    <row r="1324" ht="14.25" customHeight="1">
      <c r="A1324" s="4" t="s">
        <v>1341</v>
      </c>
      <c r="B1324" s="4">
        <v>21734.0</v>
      </c>
      <c r="C1324" s="4" t="s">
        <v>886</v>
      </c>
      <c r="D1324" s="4" t="str">
        <f t="shared" si="1"/>
        <v>MA3</v>
      </c>
      <c r="E1324" s="4">
        <f t="shared" si="2"/>
        <v>1811.166667</v>
      </c>
      <c r="F1324" s="4">
        <f t="shared" si="3"/>
        <v>603.7222222</v>
      </c>
      <c r="G1324" s="4">
        <f t="shared" si="4"/>
        <v>1811</v>
      </c>
      <c r="H1324" s="4" t="str">
        <f t="shared" si="5"/>
        <v>Binh thuong</v>
      </c>
    </row>
    <row r="1325" ht="14.25" customHeight="1">
      <c r="A1325" s="4" t="s">
        <v>1342</v>
      </c>
      <c r="B1325" s="4">
        <v>16372.0</v>
      </c>
      <c r="C1325" s="4" t="s">
        <v>886</v>
      </c>
      <c r="D1325" s="4" t="str">
        <f t="shared" si="1"/>
        <v>MA3</v>
      </c>
      <c r="E1325" s="4">
        <f t="shared" si="2"/>
        <v>1364.333333</v>
      </c>
      <c r="F1325" s="4">
        <f t="shared" si="3"/>
        <v>454.7777778</v>
      </c>
      <c r="G1325" s="4">
        <f t="shared" si="4"/>
        <v>1364</v>
      </c>
      <c r="H1325" s="4" t="str">
        <f t="shared" si="5"/>
        <v>Binh thuong</v>
      </c>
    </row>
    <row r="1326" ht="14.25" customHeight="1">
      <c r="A1326" s="4" t="s">
        <v>1343</v>
      </c>
      <c r="B1326" s="4">
        <v>22372.0</v>
      </c>
      <c r="C1326" s="4" t="s">
        <v>886</v>
      </c>
      <c r="D1326" s="4" t="str">
        <f t="shared" si="1"/>
        <v>MA3</v>
      </c>
      <c r="E1326" s="4">
        <f t="shared" si="2"/>
        <v>1864.333333</v>
      </c>
      <c r="F1326" s="4">
        <f t="shared" si="3"/>
        <v>621.4444444</v>
      </c>
      <c r="G1326" s="4">
        <f t="shared" si="4"/>
        <v>1864</v>
      </c>
      <c r="H1326" s="4" t="str">
        <f t="shared" si="5"/>
        <v>Binh thuong</v>
      </c>
    </row>
    <row r="1327" ht="14.25" customHeight="1">
      <c r="A1327" s="4" t="s">
        <v>1344</v>
      </c>
      <c r="B1327" s="4">
        <v>8177.0</v>
      </c>
      <c r="C1327" s="4" t="s">
        <v>886</v>
      </c>
      <c r="D1327" s="4" t="str">
        <f t="shared" si="1"/>
        <v>MA3</v>
      </c>
      <c r="E1327" s="4">
        <f t="shared" si="2"/>
        <v>681.4166667</v>
      </c>
      <c r="F1327" s="4">
        <f t="shared" si="3"/>
        <v>227.1388889</v>
      </c>
      <c r="G1327" s="4">
        <f t="shared" si="4"/>
        <v>681</v>
      </c>
      <c r="H1327" s="4" t="str">
        <f t="shared" si="5"/>
        <v>Binh thuong</v>
      </c>
    </row>
    <row r="1328" ht="14.25" customHeight="1">
      <c r="A1328" s="4" t="s">
        <v>1345</v>
      </c>
      <c r="B1328" s="4">
        <v>13232.0</v>
      </c>
      <c r="C1328" s="4" t="s">
        <v>886</v>
      </c>
      <c r="D1328" s="4" t="str">
        <f t="shared" si="1"/>
        <v>MA3</v>
      </c>
      <c r="E1328" s="4">
        <f t="shared" si="2"/>
        <v>1102.666667</v>
      </c>
      <c r="F1328" s="4">
        <f t="shared" si="3"/>
        <v>367.5555556</v>
      </c>
      <c r="G1328" s="4">
        <f t="shared" si="4"/>
        <v>1103</v>
      </c>
      <c r="H1328" s="4" t="str">
        <f t="shared" si="5"/>
        <v>Binh thuong</v>
      </c>
    </row>
    <row r="1329" ht="14.25" customHeight="1">
      <c r="A1329" s="4" t="s">
        <v>1346</v>
      </c>
      <c r="B1329" s="4">
        <v>20982.0</v>
      </c>
      <c r="C1329" s="4" t="s">
        <v>886</v>
      </c>
      <c r="D1329" s="4" t="str">
        <f t="shared" si="1"/>
        <v>MA3</v>
      </c>
      <c r="E1329" s="4">
        <f t="shared" si="2"/>
        <v>1748.5</v>
      </c>
      <c r="F1329" s="4">
        <f t="shared" si="3"/>
        <v>582.8333333</v>
      </c>
      <c r="G1329" s="4">
        <f t="shared" si="4"/>
        <v>1749</v>
      </c>
      <c r="H1329" s="4" t="str">
        <f t="shared" si="5"/>
        <v>Binh thuong</v>
      </c>
    </row>
    <row r="1330" ht="14.25" customHeight="1">
      <c r="A1330" s="4" t="s">
        <v>1347</v>
      </c>
      <c r="B1330" s="4">
        <v>19415.0</v>
      </c>
      <c r="C1330" s="4" t="s">
        <v>886</v>
      </c>
      <c r="D1330" s="4" t="str">
        <f t="shared" si="1"/>
        <v>MA3</v>
      </c>
      <c r="E1330" s="4">
        <f t="shared" si="2"/>
        <v>1617.916667</v>
      </c>
      <c r="F1330" s="4">
        <f t="shared" si="3"/>
        <v>539.3055556</v>
      </c>
      <c r="G1330" s="4">
        <f t="shared" si="4"/>
        <v>1618</v>
      </c>
      <c r="H1330" s="4" t="str">
        <f t="shared" si="5"/>
        <v>Binh thuong</v>
      </c>
    </row>
    <row r="1331" ht="14.25" customHeight="1">
      <c r="A1331" s="4" t="s">
        <v>1348</v>
      </c>
      <c r="B1331" s="4">
        <v>18013.0</v>
      </c>
      <c r="C1331" s="4" t="s">
        <v>886</v>
      </c>
      <c r="D1331" s="4" t="str">
        <f t="shared" si="1"/>
        <v>MA3</v>
      </c>
      <c r="E1331" s="4">
        <f t="shared" si="2"/>
        <v>1501.083333</v>
      </c>
      <c r="F1331" s="4">
        <f t="shared" si="3"/>
        <v>500.3611111</v>
      </c>
      <c r="G1331" s="4">
        <f t="shared" si="4"/>
        <v>1501</v>
      </c>
      <c r="H1331" s="4" t="str">
        <f t="shared" si="5"/>
        <v>Binh thuong</v>
      </c>
    </row>
    <row r="1332" ht="14.25" customHeight="1">
      <c r="A1332" s="4" t="s">
        <v>1349</v>
      </c>
      <c r="B1332" s="4">
        <v>150961.0</v>
      </c>
      <c r="C1332" s="4" t="s">
        <v>886</v>
      </c>
      <c r="D1332" s="4" t="str">
        <f t="shared" si="1"/>
        <v>MA3</v>
      </c>
      <c r="E1332" s="4">
        <f t="shared" si="2"/>
        <v>12580.08333</v>
      </c>
      <c r="F1332" s="4">
        <f t="shared" si="3"/>
        <v>4193.361111</v>
      </c>
      <c r="G1332" s="4">
        <f t="shared" si="4"/>
        <v>12580</v>
      </c>
      <c r="H1332" s="4" t="str">
        <f t="shared" si="5"/>
        <v>Uu tien cao</v>
      </c>
    </row>
    <row r="1333" ht="14.25" customHeight="1">
      <c r="A1333" s="4" t="s">
        <v>1350</v>
      </c>
      <c r="B1333" s="4">
        <v>85476.0</v>
      </c>
      <c r="C1333" s="4" t="s">
        <v>886</v>
      </c>
      <c r="D1333" s="4" t="str">
        <f t="shared" si="1"/>
        <v>MA3</v>
      </c>
      <c r="E1333" s="4">
        <f t="shared" si="2"/>
        <v>7123</v>
      </c>
      <c r="F1333" s="4">
        <f t="shared" si="3"/>
        <v>2374.333333</v>
      </c>
      <c r="G1333" s="4">
        <f t="shared" si="4"/>
        <v>7123</v>
      </c>
      <c r="H1333" s="4" t="str">
        <f t="shared" si="5"/>
        <v>Uu tien cao</v>
      </c>
    </row>
    <row r="1334" ht="14.25" customHeight="1">
      <c r="A1334" s="4" t="s">
        <v>1351</v>
      </c>
      <c r="B1334" s="4">
        <v>126804.0</v>
      </c>
      <c r="C1334" s="4" t="s">
        <v>886</v>
      </c>
      <c r="D1334" s="4" t="str">
        <f t="shared" si="1"/>
        <v>MA3</v>
      </c>
      <c r="E1334" s="4">
        <f t="shared" si="2"/>
        <v>10567</v>
      </c>
      <c r="F1334" s="4">
        <f t="shared" si="3"/>
        <v>3522.333333</v>
      </c>
      <c r="G1334" s="4">
        <f t="shared" si="4"/>
        <v>10567</v>
      </c>
      <c r="H1334" s="4" t="str">
        <f t="shared" si="5"/>
        <v>Uu tien cao</v>
      </c>
    </row>
    <row r="1335" ht="14.25" customHeight="1">
      <c r="A1335" s="4" t="s">
        <v>1352</v>
      </c>
      <c r="B1335" s="4">
        <v>119472.0</v>
      </c>
      <c r="C1335" s="4" t="s">
        <v>886</v>
      </c>
      <c r="D1335" s="4" t="str">
        <f t="shared" si="1"/>
        <v>MA3</v>
      </c>
      <c r="E1335" s="4">
        <f t="shared" si="2"/>
        <v>9956</v>
      </c>
      <c r="F1335" s="4">
        <f t="shared" si="3"/>
        <v>3318.666667</v>
      </c>
      <c r="G1335" s="4">
        <f t="shared" si="4"/>
        <v>9956</v>
      </c>
      <c r="H1335" s="4" t="str">
        <f t="shared" si="5"/>
        <v>Uu tien cao</v>
      </c>
    </row>
    <row r="1336" ht="14.25" customHeight="1">
      <c r="A1336" s="4" t="s">
        <v>1353</v>
      </c>
      <c r="B1336" s="4">
        <v>226334.0</v>
      </c>
      <c r="C1336" s="4" t="s">
        <v>886</v>
      </c>
      <c r="D1336" s="4" t="str">
        <f t="shared" si="1"/>
        <v>MA3</v>
      </c>
      <c r="E1336" s="4">
        <f t="shared" si="2"/>
        <v>18861.16667</v>
      </c>
      <c r="F1336" s="4">
        <f t="shared" si="3"/>
        <v>6287.055556</v>
      </c>
      <c r="G1336" s="4">
        <f t="shared" si="4"/>
        <v>18861</v>
      </c>
      <c r="H1336" s="4" t="str">
        <f t="shared" si="5"/>
        <v>Uu tien cao</v>
      </c>
    </row>
    <row r="1337" ht="14.25" customHeight="1">
      <c r="A1337" s="4" t="s">
        <v>1354</v>
      </c>
      <c r="B1337" s="4">
        <v>152465.0</v>
      </c>
      <c r="C1337" s="4" t="s">
        <v>886</v>
      </c>
      <c r="D1337" s="4" t="str">
        <f t="shared" si="1"/>
        <v>MA3</v>
      </c>
      <c r="E1337" s="4">
        <f t="shared" si="2"/>
        <v>12705.41667</v>
      </c>
      <c r="F1337" s="4">
        <f t="shared" si="3"/>
        <v>4235.138889</v>
      </c>
      <c r="G1337" s="4">
        <f t="shared" si="4"/>
        <v>12705</v>
      </c>
      <c r="H1337" s="4" t="str">
        <f t="shared" si="5"/>
        <v>Uu tien cao</v>
      </c>
    </row>
    <row r="1338" ht="14.25" customHeight="1">
      <c r="A1338" s="4" t="s">
        <v>1355</v>
      </c>
      <c r="B1338" s="4">
        <v>159174.0</v>
      </c>
      <c r="C1338" s="4" t="s">
        <v>886</v>
      </c>
      <c r="D1338" s="4" t="str">
        <f t="shared" si="1"/>
        <v>MA3</v>
      </c>
      <c r="E1338" s="4">
        <f t="shared" si="2"/>
        <v>13264.5</v>
      </c>
      <c r="F1338" s="4">
        <f t="shared" si="3"/>
        <v>4421.5</v>
      </c>
      <c r="G1338" s="4">
        <f t="shared" si="4"/>
        <v>13265</v>
      </c>
      <c r="H1338" s="4" t="str">
        <f t="shared" si="5"/>
        <v>Uu tien cao</v>
      </c>
    </row>
    <row r="1339" ht="14.25" customHeight="1">
      <c r="A1339" s="4" t="s">
        <v>1356</v>
      </c>
      <c r="B1339" s="4">
        <v>113181.0</v>
      </c>
      <c r="C1339" s="4" t="s">
        <v>886</v>
      </c>
      <c r="D1339" s="4" t="str">
        <f t="shared" si="1"/>
        <v>MA3</v>
      </c>
      <c r="E1339" s="4">
        <f t="shared" si="2"/>
        <v>9431.75</v>
      </c>
      <c r="F1339" s="4">
        <f t="shared" si="3"/>
        <v>3143.916667</v>
      </c>
      <c r="G1339" s="4">
        <f t="shared" si="4"/>
        <v>9432</v>
      </c>
      <c r="H1339" s="4" t="str">
        <f t="shared" si="5"/>
        <v>Uu tien cao</v>
      </c>
    </row>
    <row r="1340" ht="14.25" customHeight="1">
      <c r="A1340" s="4" t="s">
        <v>1357</v>
      </c>
      <c r="B1340" s="4">
        <v>126626.0</v>
      </c>
      <c r="C1340" s="4" t="s">
        <v>886</v>
      </c>
      <c r="D1340" s="4" t="str">
        <f t="shared" si="1"/>
        <v>MA3</v>
      </c>
      <c r="E1340" s="4">
        <f t="shared" si="2"/>
        <v>10552.16667</v>
      </c>
      <c r="F1340" s="4">
        <f t="shared" si="3"/>
        <v>3517.388889</v>
      </c>
      <c r="G1340" s="4">
        <f t="shared" si="4"/>
        <v>10552</v>
      </c>
      <c r="H1340" s="4" t="str">
        <f t="shared" si="5"/>
        <v>Uu tien cao</v>
      </c>
    </row>
    <row r="1341" ht="14.25" customHeight="1">
      <c r="A1341" s="4" t="s">
        <v>1358</v>
      </c>
      <c r="B1341" s="4">
        <v>88328.0</v>
      </c>
      <c r="C1341" s="4" t="s">
        <v>886</v>
      </c>
      <c r="D1341" s="4" t="str">
        <f t="shared" si="1"/>
        <v>MA3</v>
      </c>
      <c r="E1341" s="4">
        <f t="shared" si="2"/>
        <v>7360.666667</v>
      </c>
      <c r="F1341" s="4">
        <f t="shared" si="3"/>
        <v>2453.555556</v>
      </c>
      <c r="G1341" s="4">
        <f t="shared" si="4"/>
        <v>7361</v>
      </c>
      <c r="H1341" s="4" t="str">
        <f t="shared" si="5"/>
        <v>Uu tien cao</v>
      </c>
    </row>
    <row r="1342" ht="14.25" customHeight="1">
      <c r="A1342" s="4" t="s">
        <v>1359</v>
      </c>
      <c r="B1342" s="4">
        <v>110131.0</v>
      </c>
      <c r="C1342" s="4" t="s">
        <v>886</v>
      </c>
      <c r="D1342" s="4" t="str">
        <f t="shared" si="1"/>
        <v>MA3</v>
      </c>
      <c r="E1342" s="4">
        <f t="shared" si="2"/>
        <v>9177.583333</v>
      </c>
      <c r="F1342" s="4">
        <f t="shared" si="3"/>
        <v>3059.194444</v>
      </c>
      <c r="G1342" s="4">
        <f t="shared" si="4"/>
        <v>9178</v>
      </c>
      <c r="H1342" s="4" t="str">
        <f t="shared" si="5"/>
        <v>Uu tien cao</v>
      </c>
    </row>
    <row r="1343" ht="14.25" customHeight="1">
      <c r="A1343" s="4" t="s">
        <v>1360</v>
      </c>
      <c r="B1343" s="4">
        <v>88394.0</v>
      </c>
      <c r="C1343" s="4" t="s">
        <v>886</v>
      </c>
      <c r="D1343" s="4" t="str">
        <f t="shared" si="1"/>
        <v>MA3</v>
      </c>
      <c r="E1343" s="4">
        <f t="shared" si="2"/>
        <v>7366.166667</v>
      </c>
      <c r="F1343" s="4">
        <f t="shared" si="3"/>
        <v>2455.388889</v>
      </c>
      <c r="G1343" s="4">
        <f t="shared" si="4"/>
        <v>7366</v>
      </c>
      <c r="H1343" s="4" t="str">
        <f t="shared" si="5"/>
        <v>Uu tien cao</v>
      </c>
    </row>
    <row r="1344" ht="14.25" customHeight="1">
      <c r="A1344" s="4" t="s">
        <v>1361</v>
      </c>
      <c r="B1344" s="4">
        <v>103806.0</v>
      </c>
      <c r="C1344" s="4" t="s">
        <v>886</v>
      </c>
      <c r="D1344" s="4" t="str">
        <f t="shared" si="1"/>
        <v>MA3</v>
      </c>
      <c r="E1344" s="4">
        <f t="shared" si="2"/>
        <v>8650.5</v>
      </c>
      <c r="F1344" s="4">
        <f t="shared" si="3"/>
        <v>2883.5</v>
      </c>
      <c r="G1344" s="4">
        <f t="shared" si="4"/>
        <v>8651</v>
      </c>
      <c r="H1344" s="4" t="str">
        <f t="shared" si="5"/>
        <v>Uu tien cao</v>
      </c>
    </row>
    <row r="1345" ht="14.25" customHeight="1">
      <c r="A1345" s="4" t="s">
        <v>1362</v>
      </c>
      <c r="B1345" s="4">
        <v>87842.0</v>
      </c>
      <c r="C1345" s="4" t="s">
        <v>886</v>
      </c>
      <c r="D1345" s="4" t="str">
        <f t="shared" si="1"/>
        <v>MA3</v>
      </c>
      <c r="E1345" s="4">
        <f t="shared" si="2"/>
        <v>7320.166667</v>
      </c>
      <c r="F1345" s="4">
        <f t="shared" si="3"/>
        <v>2440.055556</v>
      </c>
      <c r="G1345" s="4">
        <f t="shared" si="4"/>
        <v>7320</v>
      </c>
      <c r="H1345" s="4" t="str">
        <f t="shared" si="5"/>
        <v>Uu tien cao</v>
      </c>
    </row>
    <row r="1346" ht="14.25" customHeight="1">
      <c r="A1346" s="4" t="s">
        <v>1363</v>
      </c>
      <c r="B1346" s="4">
        <v>63169.0</v>
      </c>
      <c r="C1346" s="4" t="s">
        <v>886</v>
      </c>
      <c r="D1346" s="4" t="str">
        <f t="shared" si="1"/>
        <v>MA3</v>
      </c>
      <c r="E1346" s="4">
        <f t="shared" si="2"/>
        <v>5264.083333</v>
      </c>
      <c r="F1346" s="4">
        <f t="shared" si="3"/>
        <v>1754.694444</v>
      </c>
      <c r="G1346" s="4">
        <f t="shared" si="4"/>
        <v>5264</v>
      </c>
      <c r="H1346" s="4" t="str">
        <f t="shared" si="5"/>
        <v>Uu tien cao</v>
      </c>
    </row>
    <row r="1347" ht="14.25" customHeight="1">
      <c r="A1347" s="4" t="s">
        <v>1364</v>
      </c>
      <c r="B1347" s="4">
        <v>118356.0</v>
      </c>
      <c r="C1347" s="4" t="s">
        <v>886</v>
      </c>
      <c r="D1347" s="4" t="str">
        <f t="shared" si="1"/>
        <v>MA3</v>
      </c>
      <c r="E1347" s="4">
        <f t="shared" si="2"/>
        <v>9863</v>
      </c>
      <c r="F1347" s="4">
        <f t="shared" si="3"/>
        <v>3287.666667</v>
      </c>
      <c r="G1347" s="4">
        <f t="shared" si="4"/>
        <v>9863</v>
      </c>
      <c r="H1347" s="4" t="str">
        <f t="shared" si="5"/>
        <v>Uu tien cao</v>
      </c>
    </row>
    <row r="1348" ht="14.25" customHeight="1">
      <c r="A1348" s="4" t="s">
        <v>1365</v>
      </c>
      <c r="B1348" s="4">
        <v>48848.0</v>
      </c>
      <c r="C1348" s="4" t="s">
        <v>886</v>
      </c>
      <c r="D1348" s="4" t="str">
        <f t="shared" si="1"/>
        <v>MA3</v>
      </c>
      <c r="E1348" s="4">
        <f t="shared" si="2"/>
        <v>4070.666667</v>
      </c>
      <c r="F1348" s="4">
        <f t="shared" si="3"/>
        <v>1356.888889</v>
      </c>
      <c r="G1348" s="4">
        <f t="shared" si="4"/>
        <v>4071</v>
      </c>
      <c r="H1348" s="4" t="str">
        <f t="shared" si="5"/>
        <v>Uu tien cao</v>
      </c>
    </row>
    <row r="1349" ht="14.25" customHeight="1">
      <c r="A1349" s="4" t="s">
        <v>1366</v>
      </c>
      <c r="B1349" s="4">
        <v>36583.0</v>
      </c>
      <c r="C1349" s="4" t="s">
        <v>886</v>
      </c>
      <c r="D1349" s="4" t="str">
        <f t="shared" si="1"/>
        <v>MA3</v>
      </c>
      <c r="E1349" s="4">
        <f t="shared" si="2"/>
        <v>3048.583333</v>
      </c>
      <c r="F1349" s="4">
        <f t="shared" si="3"/>
        <v>1016.194444</v>
      </c>
      <c r="G1349" s="4">
        <f t="shared" si="4"/>
        <v>3049</v>
      </c>
      <c r="H1349" s="4" t="str">
        <f t="shared" si="5"/>
        <v>Binh thuong</v>
      </c>
    </row>
    <row r="1350" ht="14.25" customHeight="1">
      <c r="A1350" s="4" t="s">
        <v>1367</v>
      </c>
      <c r="B1350" s="4">
        <v>38506.0</v>
      </c>
      <c r="C1350" s="4" t="s">
        <v>886</v>
      </c>
      <c r="D1350" s="4" t="str">
        <f t="shared" si="1"/>
        <v>MA3</v>
      </c>
      <c r="E1350" s="4">
        <f t="shared" si="2"/>
        <v>3208.833333</v>
      </c>
      <c r="F1350" s="4">
        <f t="shared" si="3"/>
        <v>1069.611111</v>
      </c>
      <c r="G1350" s="4">
        <f t="shared" si="4"/>
        <v>3209</v>
      </c>
      <c r="H1350" s="4" t="str">
        <f t="shared" si="5"/>
        <v>Binh thuong</v>
      </c>
    </row>
    <row r="1351" ht="14.25" customHeight="1">
      <c r="A1351" s="4" t="s">
        <v>1368</v>
      </c>
      <c r="B1351" s="4">
        <v>32374.0</v>
      </c>
      <c r="C1351" s="4" t="s">
        <v>886</v>
      </c>
      <c r="D1351" s="4" t="str">
        <f t="shared" si="1"/>
        <v>MA3</v>
      </c>
      <c r="E1351" s="4">
        <f t="shared" si="2"/>
        <v>2697.833333</v>
      </c>
      <c r="F1351" s="4">
        <f t="shared" si="3"/>
        <v>899.2777778</v>
      </c>
      <c r="G1351" s="4">
        <f t="shared" si="4"/>
        <v>2698</v>
      </c>
      <c r="H1351" s="4" t="str">
        <f t="shared" si="5"/>
        <v>Binh thuong</v>
      </c>
    </row>
    <row r="1352" ht="14.25" customHeight="1">
      <c r="A1352" s="4" t="s">
        <v>1369</v>
      </c>
      <c r="B1352" s="4">
        <v>57386.0</v>
      </c>
      <c r="C1352" s="4" t="s">
        <v>886</v>
      </c>
      <c r="D1352" s="4" t="str">
        <f t="shared" si="1"/>
        <v>MA3</v>
      </c>
      <c r="E1352" s="4">
        <f t="shared" si="2"/>
        <v>4782.166667</v>
      </c>
      <c r="F1352" s="4">
        <f t="shared" si="3"/>
        <v>1594.055556</v>
      </c>
      <c r="G1352" s="4">
        <f t="shared" si="4"/>
        <v>4782</v>
      </c>
      <c r="H1352" s="4" t="str">
        <f t="shared" si="5"/>
        <v>Uu tien cao</v>
      </c>
    </row>
    <row r="1353" ht="14.25" customHeight="1">
      <c r="A1353" s="4" t="s">
        <v>1370</v>
      </c>
      <c r="B1353" s="4">
        <v>50955.0</v>
      </c>
      <c r="C1353" s="4" t="s">
        <v>886</v>
      </c>
      <c r="D1353" s="4" t="str">
        <f t="shared" si="1"/>
        <v>MA3</v>
      </c>
      <c r="E1353" s="4">
        <f t="shared" si="2"/>
        <v>4246.25</v>
      </c>
      <c r="F1353" s="4">
        <f t="shared" si="3"/>
        <v>1415.416667</v>
      </c>
      <c r="G1353" s="4">
        <f t="shared" si="4"/>
        <v>4246</v>
      </c>
      <c r="H1353" s="4" t="str">
        <f t="shared" si="5"/>
        <v>Uu tien cao</v>
      </c>
    </row>
    <row r="1354" ht="14.25" customHeight="1">
      <c r="A1354" s="4" t="s">
        <v>1371</v>
      </c>
      <c r="B1354" s="4">
        <v>105113.0</v>
      </c>
      <c r="C1354" s="4" t="s">
        <v>886</v>
      </c>
      <c r="D1354" s="4" t="str">
        <f t="shared" si="1"/>
        <v>MA3</v>
      </c>
      <c r="E1354" s="4">
        <f t="shared" si="2"/>
        <v>8759.416667</v>
      </c>
      <c r="F1354" s="4">
        <f t="shared" si="3"/>
        <v>2919.805556</v>
      </c>
      <c r="G1354" s="4">
        <f t="shared" si="4"/>
        <v>8759</v>
      </c>
      <c r="H1354" s="4" t="str">
        <f t="shared" si="5"/>
        <v>Uu tien cao</v>
      </c>
    </row>
    <row r="1355" ht="14.25" customHeight="1">
      <c r="A1355" s="4" t="s">
        <v>1372</v>
      </c>
      <c r="B1355" s="4">
        <v>113255.0</v>
      </c>
      <c r="C1355" s="4" t="s">
        <v>886</v>
      </c>
      <c r="D1355" s="4" t="str">
        <f t="shared" si="1"/>
        <v>MA3</v>
      </c>
      <c r="E1355" s="4">
        <f t="shared" si="2"/>
        <v>9437.916667</v>
      </c>
      <c r="F1355" s="4">
        <f t="shared" si="3"/>
        <v>3145.972222</v>
      </c>
      <c r="G1355" s="4">
        <f t="shared" si="4"/>
        <v>9438</v>
      </c>
      <c r="H1355" s="4" t="str">
        <f t="shared" si="5"/>
        <v>Uu tien cao</v>
      </c>
    </row>
    <row r="1356" ht="14.25" customHeight="1">
      <c r="A1356" s="4" t="s">
        <v>1373</v>
      </c>
      <c r="B1356" s="4">
        <v>59648.0</v>
      </c>
      <c r="C1356" s="4" t="s">
        <v>886</v>
      </c>
      <c r="D1356" s="4" t="str">
        <f t="shared" si="1"/>
        <v>MA3</v>
      </c>
      <c r="E1356" s="4">
        <f t="shared" si="2"/>
        <v>4970.666667</v>
      </c>
      <c r="F1356" s="4">
        <f t="shared" si="3"/>
        <v>1656.888889</v>
      </c>
      <c r="G1356" s="4">
        <f t="shared" si="4"/>
        <v>4971</v>
      </c>
      <c r="H1356" s="4" t="str">
        <f t="shared" si="5"/>
        <v>Uu tien cao</v>
      </c>
    </row>
    <row r="1357" ht="14.25" customHeight="1">
      <c r="A1357" s="4" t="s">
        <v>1374</v>
      </c>
      <c r="B1357" s="4">
        <v>150997.0</v>
      </c>
      <c r="C1357" s="4" t="s">
        <v>886</v>
      </c>
      <c r="D1357" s="4" t="str">
        <f t="shared" si="1"/>
        <v>MA3</v>
      </c>
      <c r="E1357" s="4">
        <f t="shared" si="2"/>
        <v>12583.08333</v>
      </c>
      <c r="F1357" s="4">
        <f t="shared" si="3"/>
        <v>4194.361111</v>
      </c>
      <c r="G1357" s="4">
        <f t="shared" si="4"/>
        <v>12583</v>
      </c>
      <c r="H1357" s="4" t="str">
        <f t="shared" si="5"/>
        <v>Uu tien cao</v>
      </c>
    </row>
    <row r="1358" ht="14.25" customHeight="1">
      <c r="A1358" s="4" t="s">
        <v>1375</v>
      </c>
      <c r="B1358" s="4">
        <v>179317.0</v>
      </c>
      <c r="C1358" s="4" t="s">
        <v>886</v>
      </c>
      <c r="D1358" s="4" t="str">
        <f t="shared" si="1"/>
        <v>MA3</v>
      </c>
      <c r="E1358" s="4">
        <f t="shared" si="2"/>
        <v>14943.08333</v>
      </c>
      <c r="F1358" s="4">
        <f t="shared" si="3"/>
        <v>4981.027778</v>
      </c>
      <c r="G1358" s="4">
        <f t="shared" si="4"/>
        <v>14943</v>
      </c>
      <c r="H1358" s="4" t="str">
        <f t="shared" si="5"/>
        <v>Uu tien cao</v>
      </c>
    </row>
    <row r="1359" ht="14.25" customHeight="1">
      <c r="A1359" s="4" t="s">
        <v>1376</v>
      </c>
      <c r="B1359" s="4">
        <v>130717.0</v>
      </c>
      <c r="C1359" s="4" t="s">
        <v>886</v>
      </c>
      <c r="D1359" s="4" t="str">
        <f t="shared" si="1"/>
        <v>MA3</v>
      </c>
      <c r="E1359" s="4">
        <f t="shared" si="2"/>
        <v>10893.08333</v>
      </c>
      <c r="F1359" s="4">
        <f t="shared" si="3"/>
        <v>3631.027778</v>
      </c>
      <c r="G1359" s="4">
        <f t="shared" si="4"/>
        <v>10893</v>
      </c>
      <c r="H1359" s="4" t="str">
        <f t="shared" si="5"/>
        <v>Uu tien cao</v>
      </c>
    </row>
    <row r="1360" ht="14.25" customHeight="1">
      <c r="A1360" s="4" t="s">
        <v>1377</v>
      </c>
      <c r="B1360" s="4">
        <v>89437.0</v>
      </c>
      <c r="C1360" s="4" t="s">
        <v>886</v>
      </c>
      <c r="D1360" s="4" t="str">
        <f t="shared" si="1"/>
        <v>MA3</v>
      </c>
      <c r="E1360" s="4">
        <f t="shared" si="2"/>
        <v>7453.083333</v>
      </c>
      <c r="F1360" s="4">
        <f t="shared" si="3"/>
        <v>2484.361111</v>
      </c>
      <c r="G1360" s="4">
        <f t="shared" si="4"/>
        <v>7453</v>
      </c>
      <c r="H1360" s="4" t="str">
        <f t="shared" si="5"/>
        <v>Uu tien cao</v>
      </c>
    </row>
    <row r="1361" ht="14.25" customHeight="1">
      <c r="A1361" s="4" t="s">
        <v>1378</v>
      </c>
      <c r="B1361" s="4">
        <v>39536.0</v>
      </c>
      <c r="C1361" s="4" t="s">
        <v>886</v>
      </c>
      <c r="D1361" s="4" t="str">
        <f t="shared" si="1"/>
        <v>MA3</v>
      </c>
      <c r="E1361" s="4">
        <f t="shared" si="2"/>
        <v>3294.666667</v>
      </c>
      <c r="F1361" s="4">
        <f t="shared" si="3"/>
        <v>1098.222222</v>
      </c>
      <c r="G1361" s="4">
        <f t="shared" si="4"/>
        <v>3295</v>
      </c>
      <c r="H1361" s="4" t="str">
        <f t="shared" si="5"/>
        <v>Binh thuong</v>
      </c>
    </row>
    <row r="1362" ht="14.25" customHeight="1">
      <c r="A1362" s="4" t="s">
        <v>1379</v>
      </c>
      <c r="B1362" s="4">
        <v>52388.0</v>
      </c>
      <c r="C1362" s="4" t="s">
        <v>886</v>
      </c>
      <c r="D1362" s="4" t="str">
        <f t="shared" si="1"/>
        <v>MA3</v>
      </c>
      <c r="E1362" s="4">
        <f t="shared" si="2"/>
        <v>4365.666667</v>
      </c>
      <c r="F1362" s="4">
        <f t="shared" si="3"/>
        <v>1455.222222</v>
      </c>
      <c r="G1362" s="4">
        <f t="shared" si="4"/>
        <v>4366</v>
      </c>
      <c r="H1362" s="4" t="str">
        <f t="shared" si="5"/>
        <v>Uu tien cao</v>
      </c>
    </row>
    <row r="1363" ht="14.25" customHeight="1">
      <c r="A1363" s="4" t="s">
        <v>1380</v>
      </c>
      <c r="B1363" s="4">
        <v>100604.0</v>
      </c>
      <c r="C1363" s="4" t="s">
        <v>886</v>
      </c>
      <c r="D1363" s="4" t="str">
        <f t="shared" si="1"/>
        <v>MA3</v>
      </c>
      <c r="E1363" s="4">
        <f t="shared" si="2"/>
        <v>8383.666667</v>
      </c>
      <c r="F1363" s="4">
        <f t="shared" si="3"/>
        <v>2794.555556</v>
      </c>
      <c r="G1363" s="4">
        <f t="shared" si="4"/>
        <v>8384</v>
      </c>
      <c r="H1363" s="4" t="str">
        <f t="shared" si="5"/>
        <v>Uu tien cao</v>
      </c>
    </row>
    <row r="1364" ht="14.25" customHeight="1">
      <c r="A1364" s="4" t="s">
        <v>1381</v>
      </c>
      <c r="B1364" s="4">
        <v>110608.0</v>
      </c>
      <c r="C1364" s="4" t="s">
        <v>886</v>
      </c>
      <c r="D1364" s="4" t="str">
        <f t="shared" si="1"/>
        <v>MA3</v>
      </c>
      <c r="E1364" s="4">
        <f t="shared" si="2"/>
        <v>9217.333333</v>
      </c>
      <c r="F1364" s="4">
        <f t="shared" si="3"/>
        <v>3072.444444</v>
      </c>
      <c r="G1364" s="4">
        <f t="shared" si="4"/>
        <v>9217</v>
      </c>
      <c r="H1364" s="4" t="str">
        <f t="shared" si="5"/>
        <v>Uu tien cao</v>
      </c>
    </row>
    <row r="1365" ht="14.25" customHeight="1">
      <c r="A1365" s="4" t="s">
        <v>1382</v>
      </c>
      <c r="B1365" s="4">
        <v>22917.0</v>
      </c>
      <c r="C1365" s="4" t="s">
        <v>886</v>
      </c>
      <c r="D1365" s="4" t="str">
        <f t="shared" si="1"/>
        <v>MA3</v>
      </c>
      <c r="E1365" s="4">
        <f t="shared" si="2"/>
        <v>1909.75</v>
      </c>
      <c r="F1365" s="4">
        <f t="shared" si="3"/>
        <v>636.5833333</v>
      </c>
      <c r="G1365" s="4">
        <f t="shared" si="4"/>
        <v>1910</v>
      </c>
      <c r="H1365" s="4" t="str">
        <f t="shared" si="5"/>
        <v>Binh thuong</v>
      </c>
    </row>
    <row r="1366" ht="14.25" customHeight="1">
      <c r="A1366" s="4" t="s">
        <v>1383</v>
      </c>
      <c r="B1366" s="4">
        <v>30750.0</v>
      </c>
      <c r="C1366" s="4" t="s">
        <v>886</v>
      </c>
      <c r="D1366" s="4" t="str">
        <f t="shared" si="1"/>
        <v>MA3</v>
      </c>
      <c r="E1366" s="4">
        <f t="shared" si="2"/>
        <v>2562.5</v>
      </c>
      <c r="F1366" s="4">
        <f t="shared" si="3"/>
        <v>854.1666667</v>
      </c>
      <c r="G1366" s="4">
        <f t="shared" si="4"/>
        <v>2563</v>
      </c>
      <c r="H1366" s="4" t="str">
        <f t="shared" si="5"/>
        <v>Binh thuong</v>
      </c>
    </row>
    <row r="1367" ht="14.25" customHeight="1">
      <c r="A1367" s="4" t="s">
        <v>1384</v>
      </c>
      <c r="B1367" s="4">
        <v>59209.0</v>
      </c>
      <c r="C1367" s="4" t="s">
        <v>886</v>
      </c>
      <c r="D1367" s="4" t="str">
        <f t="shared" si="1"/>
        <v>MA3</v>
      </c>
      <c r="E1367" s="4">
        <f t="shared" si="2"/>
        <v>4934.083333</v>
      </c>
      <c r="F1367" s="4">
        <f t="shared" si="3"/>
        <v>1644.694444</v>
      </c>
      <c r="G1367" s="4">
        <f t="shared" si="4"/>
        <v>4934</v>
      </c>
      <c r="H1367" s="4" t="str">
        <f t="shared" si="5"/>
        <v>Uu tien cao</v>
      </c>
    </row>
    <row r="1368" ht="14.25" customHeight="1">
      <c r="A1368" s="4" t="s">
        <v>1385</v>
      </c>
      <c r="B1368" s="4">
        <v>30071.0</v>
      </c>
      <c r="C1368" s="4" t="s">
        <v>886</v>
      </c>
      <c r="D1368" s="4" t="str">
        <f t="shared" si="1"/>
        <v>MA3</v>
      </c>
      <c r="E1368" s="4">
        <f t="shared" si="2"/>
        <v>2505.916667</v>
      </c>
      <c r="F1368" s="4">
        <f t="shared" si="3"/>
        <v>835.3055556</v>
      </c>
      <c r="G1368" s="4">
        <f t="shared" si="4"/>
        <v>2506</v>
      </c>
      <c r="H1368" s="4" t="str">
        <f t="shared" si="5"/>
        <v>Binh thuong</v>
      </c>
    </row>
    <row r="1369" ht="14.25" customHeight="1">
      <c r="A1369" s="4" t="s">
        <v>1386</v>
      </c>
      <c r="B1369" s="4">
        <v>28500.0</v>
      </c>
      <c r="C1369" s="4" t="s">
        <v>886</v>
      </c>
      <c r="D1369" s="4" t="str">
        <f t="shared" si="1"/>
        <v>MA3</v>
      </c>
      <c r="E1369" s="4">
        <f t="shared" si="2"/>
        <v>2375</v>
      </c>
      <c r="F1369" s="4">
        <f t="shared" si="3"/>
        <v>791.6666667</v>
      </c>
      <c r="G1369" s="4">
        <f t="shared" si="4"/>
        <v>2375</v>
      </c>
      <c r="H1369" s="4" t="str">
        <f t="shared" si="5"/>
        <v>Binh thuong</v>
      </c>
    </row>
    <row r="1370" ht="14.25" customHeight="1">
      <c r="A1370" s="4" t="s">
        <v>1387</v>
      </c>
      <c r="B1370" s="4">
        <v>14064.0</v>
      </c>
      <c r="C1370" s="4" t="s">
        <v>886</v>
      </c>
      <c r="D1370" s="4" t="str">
        <f t="shared" si="1"/>
        <v>MA3</v>
      </c>
      <c r="E1370" s="4">
        <f t="shared" si="2"/>
        <v>1172</v>
      </c>
      <c r="F1370" s="4">
        <f t="shared" si="3"/>
        <v>390.6666667</v>
      </c>
      <c r="G1370" s="4">
        <f t="shared" si="4"/>
        <v>1172</v>
      </c>
      <c r="H1370" s="4" t="str">
        <f t="shared" si="5"/>
        <v>Binh thuong</v>
      </c>
    </row>
    <row r="1371" ht="14.25" customHeight="1">
      <c r="A1371" s="4" t="s">
        <v>1388</v>
      </c>
      <c r="B1371" s="4">
        <v>3159.0</v>
      </c>
      <c r="C1371" s="4" t="s">
        <v>886</v>
      </c>
      <c r="D1371" s="4" t="str">
        <f t="shared" si="1"/>
        <v>MA3</v>
      </c>
      <c r="E1371" s="4">
        <f t="shared" si="2"/>
        <v>263.25</v>
      </c>
      <c r="F1371" s="4">
        <f t="shared" si="3"/>
        <v>87.75</v>
      </c>
      <c r="G1371" s="4">
        <f t="shared" si="4"/>
        <v>263</v>
      </c>
      <c r="H1371" s="4" t="str">
        <f t="shared" si="5"/>
        <v>Binh thuong</v>
      </c>
    </row>
    <row r="1372" ht="14.25" customHeight="1">
      <c r="A1372" s="4" t="s">
        <v>1389</v>
      </c>
      <c r="B1372" s="4">
        <v>9144.0</v>
      </c>
      <c r="C1372" s="4" t="s">
        <v>886</v>
      </c>
      <c r="D1372" s="4" t="str">
        <f t="shared" si="1"/>
        <v>MA3</v>
      </c>
      <c r="E1372" s="4">
        <f t="shared" si="2"/>
        <v>762</v>
      </c>
      <c r="F1372" s="4">
        <f t="shared" si="3"/>
        <v>254</v>
      </c>
      <c r="G1372" s="4">
        <f t="shared" si="4"/>
        <v>762</v>
      </c>
      <c r="H1372" s="4" t="str">
        <f t="shared" si="5"/>
        <v>Binh thuong</v>
      </c>
    </row>
    <row r="1373" ht="14.25" customHeight="1">
      <c r="A1373" s="4" t="s">
        <v>1390</v>
      </c>
      <c r="B1373" s="4">
        <v>6635.0</v>
      </c>
      <c r="C1373" s="4" t="s">
        <v>886</v>
      </c>
      <c r="D1373" s="4" t="str">
        <f t="shared" si="1"/>
        <v>MA3</v>
      </c>
      <c r="E1373" s="4">
        <f t="shared" si="2"/>
        <v>552.9166667</v>
      </c>
      <c r="F1373" s="4">
        <f t="shared" si="3"/>
        <v>184.3055556</v>
      </c>
      <c r="G1373" s="4">
        <f t="shared" si="4"/>
        <v>553</v>
      </c>
      <c r="H1373" s="4" t="str">
        <f t="shared" si="5"/>
        <v>Binh thuong</v>
      </c>
    </row>
    <row r="1374" ht="14.25" customHeight="1">
      <c r="A1374" s="4" t="s">
        <v>1391</v>
      </c>
      <c r="B1374" s="4">
        <v>13606.0</v>
      </c>
      <c r="C1374" s="4" t="s">
        <v>886</v>
      </c>
      <c r="D1374" s="4" t="str">
        <f t="shared" si="1"/>
        <v>MA3</v>
      </c>
      <c r="E1374" s="4">
        <f t="shared" si="2"/>
        <v>1133.833333</v>
      </c>
      <c r="F1374" s="4">
        <f t="shared" si="3"/>
        <v>377.9444444</v>
      </c>
      <c r="G1374" s="4">
        <f t="shared" si="4"/>
        <v>1134</v>
      </c>
      <c r="H1374" s="4" t="str">
        <f t="shared" si="5"/>
        <v>Binh thuong</v>
      </c>
    </row>
    <row r="1375" ht="14.25" customHeight="1">
      <c r="A1375" s="4" t="s">
        <v>1392</v>
      </c>
      <c r="B1375" s="4">
        <v>7089.0</v>
      </c>
      <c r="C1375" s="4" t="s">
        <v>886</v>
      </c>
      <c r="D1375" s="4" t="str">
        <f t="shared" si="1"/>
        <v>MA3</v>
      </c>
      <c r="E1375" s="4">
        <f t="shared" si="2"/>
        <v>590.75</v>
      </c>
      <c r="F1375" s="4">
        <f t="shared" si="3"/>
        <v>196.9166667</v>
      </c>
      <c r="G1375" s="4">
        <f t="shared" si="4"/>
        <v>591</v>
      </c>
      <c r="H1375" s="4" t="str">
        <f t="shared" si="5"/>
        <v>Binh thuong</v>
      </c>
    </row>
    <row r="1376" ht="14.25" customHeight="1">
      <c r="A1376" s="4" t="s">
        <v>1393</v>
      </c>
      <c r="B1376" s="4">
        <v>33412.0</v>
      </c>
      <c r="C1376" s="4" t="s">
        <v>886</v>
      </c>
      <c r="D1376" s="4" t="str">
        <f t="shared" si="1"/>
        <v>MA3</v>
      </c>
      <c r="E1376" s="4">
        <f t="shared" si="2"/>
        <v>2784.333333</v>
      </c>
      <c r="F1376" s="4">
        <f t="shared" si="3"/>
        <v>928.1111111</v>
      </c>
      <c r="G1376" s="4">
        <f t="shared" si="4"/>
        <v>2784</v>
      </c>
      <c r="H1376" s="4" t="str">
        <f t="shared" si="5"/>
        <v>Binh thuong</v>
      </c>
    </row>
    <row r="1377" ht="14.25" customHeight="1">
      <c r="A1377" s="4" t="s">
        <v>1394</v>
      </c>
      <c r="B1377" s="4">
        <v>9371.0</v>
      </c>
      <c r="C1377" s="4" t="s">
        <v>886</v>
      </c>
      <c r="D1377" s="4" t="str">
        <f t="shared" si="1"/>
        <v>MA3</v>
      </c>
      <c r="E1377" s="4">
        <f t="shared" si="2"/>
        <v>780.9166667</v>
      </c>
      <c r="F1377" s="4">
        <f t="shared" si="3"/>
        <v>260.3055556</v>
      </c>
      <c r="G1377" s="4">
        <f t="shared" si="4"/>
        <v>781</v>
      </c>
      <c r="H1377" s="4" t="str">
        <f t="shared" si="5"/>
        <v>Binh thuong</v>
      </c>
    </row>
    <row r="1378" ht="14.25" customHeight="1">
      <c r="A1378" s="4" t="s">
        <v>1395</v>
      </c>
      <c r="B1378" s="4">
        <v>52683.0</v>
      </c>
      <c r="C1378" s="4" t="s">
        <v>886</v>
      </c>
      <c r="D1378" s="4" t="str">
        <f t="shared" si="1"/>
        <v>MA3</v>
      </c>
      <c r="E1378" s="4">
        <f t="shared" si="2"/>
        <v>4390.25</v>
      </c>
      <c r="F1378" s="4">
        <f t="shared" si="3"/>
        <v>1463.416667</v>
      </c>
      <c r="G1378" s="4">
        <f t="shared" si="4"/>
        <v>4390</v>
      </c>
      <c r="H1378" s="4" t="str">
        <f t="shared" si="5"/>
        <v>Uu tien cao</v>
      </c>
    </row>
    <row r="1379" ht="14.25" customHeight="1">
      <c r="A1379" s="4" t="s">
        <v>1396</v>
      </c>
      <c r="B1379" s="4">
        <v>30552.0</v>
      </c>
      <c r="C1379" s="4" t="s">
        <v>886</v>
      </c>
      <c r="D1379" s="4" t="str">
        <f t="shared" si="1"/>
        <v>MA3</v>
      </c>
      <c r="E1379" s="4">
        <f t="shared" si="2"/>
        <v>2546</v>
      </c>
      <c r="F1379" s="4">
        <f t="shared" si="3"/>
        <v>848.6666667</v>
      </c>
      <c r="G1379" s="4">
        <f t="shared" si="4"/>
        <v>2546</v>
      </c>
      <c r="H1379" s="4" t="str">
        <f t="shared" si="5"/>
        <v>Binh thuong</v>
      </c>
    </row>
    <row r="1380" ht="14.25" customHeight="1">
      <c r="A1380" s="4" t="s">
        <v>1397</v>
      </c>
      <c r="B1380" s="4">
        <v>26861.0</v>
      </c>
      <c r="C1380" s="4" t="s">
        <v>886</v>
      </c>
      <c r="D1380" s="4" t="str">
        <f t="shared" si="1"/>
        <v>MA3</v>
      </c>
      <c r="E1380" s="4">
        <f t="shared" si="2"/>
        <v>2238.416667</v>
      </c>
      <c r="F1380" s="4">
        <f t="shared" si="3"/>
        <v>746.1388889</v>
      </c>
      <c r="G1380" s="4">
        <f t="shared" si="4"/>
        <v>2238</v>
      </c>
      <c r="H1380" s="4" t="str">
        <f t="shared" si="5"/>
        <v>Binh thuong</v>
      </c>
    </row>
    <row r="1381" ht="14.25" customHeight="1">
      <c r="A1381" s="4" t="s">
        <v>1398</v>
      </c>
      <c r="B1381" s="4">
        <v>30408.0</v>
      </c>
      <c r="C1381" s="4" t="s">
        <v>886</v>
      </c>
      <c r="D1381" s="4" t="str">
        <f t="shared" si="1"/>
        <v>MA3</v>
      </c>
      <c r="E1381" s="4">
        <f t="shared" si="2"/>
        <v>2534</v>
      </c>
      <c r="F1381" s="4">
        <f t="shared" si="3"/>
        <v>844.6666667</v>
      </c>
      <c r="G1381" s="4">
        <f t="shared" si="4"/>
        <v>2534</v>
      </c>
      <c r="H1381" s="4" t="str">
        <f t="shared" si="5"/>
        <v>Binh thuong</v>
      </c>
    </row>
    <row r="1382" ht="14.25" customHeight="1">
      <c r="A1382" s="4" t="s">
        <v>1399</v>
      </c>
      <c r="B1382" s="4">
        <v>74720.0</v>
      </c>
      <c r="C1382" s="4" t="s">
        <v>886</v>
      </c>
      <c r="D1382" s="4" t="str">
        <f t="shared" si="1"/>
        <v>MA3</v>
      </c>
      <c r="E1382" s="4">
        <f t="shared" si="2"/>
        <v>6226.666667</v>
      </c>
      <c r="F1382" s="4">
        <f t="shared" si="3"/>
        <v>2075.555556</v>
      </c>
      <c r="G1382" s="4">
        <f t="shared" si="4"/>
        <v>6227</v>
      </c>
      <c r="H1382" s="4" t="str">
        <f t="shared" si="5"/>
        <v>Uu tien cao</v>
      </c>
    </row>
    <row r="1383" ht="14.25" customHeight="1">
      <c r="A1383" s="4" t="s">
        <v>1400</v>
      </c>
      <c r="B1383" s="4">
        <v>39801.0</v>
      </c>
      <c r="C1383" s="4" t="s">
        <v>886</v>
      </c>
      <c r="D1383" s="4" t="str">
        <f t="shared" si="1"/>
        <v>MA3</v>
      </c>
      <c r="E1383" s="4">
        <f t="shared" si="2"/>
        <v>3316.75</v>
      </c>
      <c r="F1383" s="4">
        <f t="shared" si="3"/>
        <v>1105.583333</v>
      </c>
      <c r="G1383" s="4">
        <f t="shared" si="4"/>
        <v>3317</v>
      </c>
      <c r="H1383" s="4" t="str">
        <f t="shared" si="5"/>
        <v>Binh thuong</v>
      </c>
    </row>
    <row r="1384" ht="14.25" customHeight="1">
      <c r="A1384" s="4" t="s">
        <v>1401</v>
      </c>
      <c r="B1384" s="4">
        <v>23100.0</v>
      </c>
      <c r="C1384" s="4" t="s">
        <v>886</v>
      </c>
      <c r="D1384" s="4" t="str">
        <f t="shared" si="1"/>
        <v>MA3</v>
      </c>
      <c r="E1384" s="4">
        <f t="shared" si="2"/>
        <v>1925</v>
      </c>
      <c r="F1384" s="4">
        <f t="shared" si="3"/>
        <v>641.6666667</v>
      </c>
      <c r="G1384" s="4">
        <f t="shared" si="4"/>
        <v>1925</v>
      </c>
      <c r="H1384" s="4" t="str">
        <f t="shared" si="5"/>
        <v>Binh thuong</v>
      </c>
    </row>
    <row r="1385" ht="14.25" customHeight="1">
      <c r="A1385" s="4" t="s">
        <v>1402</v>
      </c>
      <c r="B1385" s="4">
        <v>67856.0</v>
      </c>
      <c r="C1385" s="4" t="s">
        <v>886</v>
      </c>
      <c r="D1385" s="4" t="str">
        <f t="shared" si="1"/>
        <v>MA3</v>
      </c>
      <c r="E1385" s="4">
        <f t="shared" si="2"/>
        <v>5654.666667</v>
      </c>
      <c r="F1385" s="4">
        <f t="shared" si="3"/>
        <v>1884.888889</v>
      </c>
      <c r="G1385" s="4">
        <f t="shared" si="4"/>
        <v>5655</v>
      </c>
      <c r="H1385" s="4" t="str">
        <f t="shared" si="5"/>
        <v>Uu tien cao</v>
      </c>
    </row>
    <row r="1386" ht="14.25" customHeight="1">
      <c r="A1386" s="4" t="s">
        <v>1403</v>
      </c>
      <c r="B1386" s="4">
        <v>46714.0</v>
      </c>
      <c r="C1386" s="4" t="s">
        <v>886</v>
      </c>
      <c r="D1386" s="4" t="str">
        <f t="shared" si="1"/>
        <v>MA3</v>
      </c>
      <c r="E1386" s="4">
        <f t="shared" si="2"/>
        <v>3892.833333</v>
      </c>
      <c r="F1386" s="4">
        <f t="shared" si="3"/>
        <v>1297.611111</v>
      </c>
      <c r="G1386" s="4">
        <f t="shared" si="4"/>
        <v>3893</v>
      </c>
      <c r="H1386" s="4" t="str">
        <f t="shared" si="5"/>
        <v>Uu tien cao</v>
      </c>
    </row>
    <row r="1387" ht="14.25" customHeight="1">
      <c r="A1387" s="4" t="s">
        <v>1404</v>
      </c>
      <c r="B1387" s="4">
        <v>74758.0</v>
      </c>
      <c r="C1387" s="4" t="s">
        <v>886</v>
      </c>
      <c r="D1387" s="4" t="str">
        <f t="shared" si="1"/>
        <v>MA3</v>
      </c>
      <c r="E1387" s="4">
        <f t="shared" si="2"/>
        <v>6229.833333</v>
      </c>
      <c r="F1387" s="4">
        <f t="shared" si="3"/>
        <v>2076.611111</v>
      </c>
      <c r="G1387" s="4">
        <f t="shared" si="4"/>
        <v>6230</v>
      </c>
      <c r="H1387" s="4" t="str">
        <f t="shared" si="5"/>
        <v>Uu tien cao</v>
      </c>
    </row>
    <row r="1388" ht="14.25" customHeight="1">
      <c r="A1388" s="4" t="s">
        <v>1405</v>
      </c>
      <c r="B1388" s="4">
        <v>51810.0</v>
      </c>
      <c r="C1388" s="4" t="s">
        <v>886</v>
      </c>
      <c r="D1388" s="4" t="str">
        <f t="shared" si="1"/>
        <v>MA3</v>
      </c>
      <c r="E1388" s="4">
        <f t="shared" si="2"/>
        <v>4317.5</v>
      </c>
      <c r="F1388" s="4">
        <f t="shared" si="3"/>
        <v>1439.166667</v>
      </c>
      <c r="G1388" s="4">
        <f t="shared" si="4"/>
        <v>4318</v>
      </c>
      <c r="H1388" s="4" t="str">
        <f t="shared" si="5"/>
        <v>Uu tien cao</v>
      </c>
    </row>
    <row r="1389" ht="14.25" customHeight="1">
      <c r="A1389" s="4" t="s">
        <v>1406</v>
      </c>
      <c r="B1389" s="4">
        <v>69361.0</v>
      </c>
      <c r="C1389" s="4" t="s">
        <v>886</v>
      </c>
      <c r="D1389" s="4" t="str">
        <f t="shared" si="1"/>
        <v>MA3</v>
      </c>
      <c r="E1389" s="4">
        <f t="shared" si="2"/>
        <v>5780.083333</v>
      </c>
      <c r="F1389" s="4">
        <f t="shared" si="3"/>
        <v>1926.694444</v>
      </c>
      <c r="G1389" s="4">
        <f t="shared" si="4"/>
        <v>5780</v>
      </c>
      <c r="H1389" s="4" t="str">
        <f t="shared" si="5"/>
        <v>Uu tien cao</v>
      </c>
    </row>
    <row r="1390" ht="14.25" customHeight="1">
      <c r="A1390" s="4" t="s">
        <v>1407</v>
      </c>
      <c r="B1390" s="4">
        <v>58882.0</v>
      </c>
      <c r="C1390" s="4" t="s">
        <v>886</v>
      </c>
      <c r="D1390" s="4" t="str">
        <f t="shared" si="1"/>
        <v>MA3</v>
      </c>
      <c r="E1390" s="4">
        <f t="shared" si="2"/>
        <v>4906.833333</v>
      </c>
      <c r="F1390" s="4">
        <f t="shared" si="3"/>
        <v>1635.611111</v>
      </c>
      <c r="G1390" s="4">
        <f t="shared" si="4"/>
        <v>4907</v>
      </c>
      <c r="H1390" s="4" t="str">
        <f t="shared" si="5"/>
        <v>Uu tien cao</v>
      </c>
    </row>
    <row r="1391" ht="14.25" customHeight="1">
      <c r="A1391" s="4" t="s">
        <v>1408</v>
      </c>
      <c r="B1391" s="4">
        <v>17569.0</v>
      </c>
      <c r="C1391" s="4" t="s">
        <v>886</v>
      </c>
      <c r="D1391" s="4" t="str">
        <f t="shared" si="1"/>
        <v>MA3</v>
      </c>
      <c r="E1391" s="4">
        <f t="shared" si="2"/>
        <v>1464.083333</v>
      </c>
      <c r="F1391" s="4">
        <f t="shared" si="3"/>
        <v>488.0277778</v>
      </c>
      <c r="G1391" s="4">
        <f t="shared" si="4"/>
        <v>1464</v>
      </c>
      <c r="H1391" s="4" t="str">
        <f t="shared" si="5"/>
        <v>Binh thuong</v>
      </c>
    </row>
    <row r="1392" ht="14.25" customHeight="1">
      <c r="A1392" s="4" t="s">
        <v>1409</v>
      </c>
      <c r="B1392" s="4">
        <v>15516.0</v>
      </c>
      <c r="C1392" s="4" t="s">
        <v>886</v>
      </c>
      <c r="D1392" s="4" t="str">
        <f t="shared" si="1"/>
        <v>MA3</v>
      </c>
      <c r="E1392" s="4">
        <f t="shared" si="2"/>
        <v>1293</v>
      </c>
      <c r="F1392" s="4">
        <f t="shared" si="3"/>
        <v>431</v>
      </c>
      <c r="G1392" s="4">
        <f t="shared" si="4"/>
        <v>1293</v>
      </c>
      <c r="H1392" s="4" t="str">
        <f t="shared" si="5"/>
        <v>Binh thuong</v>
      </c>
    </row>
    <row r="1393" ht="14.25" customHeight="1">
      <c r="A1393" s="4" t="s">
        <v>1410</v>
      </c>
      <c r="B1393" s="4">
        <v>18698.0</v>
      </c>
      <c r="C1393" s="4" t="s">
        <v>886</v>
      </c>
      <c r="D1393" s="4" t="str">
        <f t="shared" si="1"/>
        <v>MA3</v>
      </c>
      <c r="E1393" s="4">
        <f t="shared" si="2"/>
        <v>1558.166667</v>
      </c>
      <c r="F1393" s="4">
        <f t="shared" si="3"/>
        <v>519.3888889</v>
      </c>
      <c r="G1393" s="4">
        <f t="shared" si="4"/>
        <v>1558</v>
      </c>
      <c r="H1393" s="4" t="str">
        <f t="shared" si="5"/>
        <v>Binh thuong</v>
      </c>
    </row>
    <row r="1394" ht="14.25" customHeight="1">
      <c r="A1394" s="4" t="s">
        <v>1411</v>
      </c>
      <c r="B1394" s="4">
        <v>31194.0</v>
      </c>
      <c r="C1394" s="4" t="s">
        <v>886</v>
      </c>
      <c r="D1394" s="4" t="str">
        <f t="shared" si="1"/>
        <v>MA3</v>
      </c>
      <c r="E1394" s="4">
        <f t="shared" si="2"/>
        <v>2599.5</v>
      </c>
      <c r="F1394" s="4">
        <f t="shared" si="3"/>
        <v>866.5</v>
      </c>
      <c r="G1394" s="4">
        <f t="shared" si="4"/>
        <v>2600</v>
      </c>
      <c r="H1394" s="4" t="str">
        <f t="shared" si="5"/>
        <v>Binh thuong</v>
      </c>
    </row>
    <row r="1395" ht="14.25" customHeight="1">
      <c r="A1395" s="4" t="s">
        <v>1412</v>
      </c>
      <c r="B1395" s="4">
        <v>5059.0</v>
      </c>
      <c r="C1395" s="4" t="s">
        <v>886</v>
      </c>
      <c r="D1395" s="4" t="str">
        <f t="shared" si="1"/>
        <v>MA3</v>
      </c>
      <c r="E1395" s="4">
        <f t="shared" si="2"/>
        <v>421.5833333</v>
      </c>
      <c r="F1395" s="4">
        <f t="shared" si="3"/>
        <v>140.5277778</v>
      </c>
      <c r="G1395" s="4">
        <f t="shared" si="4"/>
        <v>422</v>
      </c>
      <c r="H1395" s="4" t="str">
        <f t="shared" si="5"/>
        <v>Binh thuong</v>
      </c>
    </row>
    <row r="1396" ht="14.25" customHeight="1">
      <c r="A1396" s="4" t="s">
        <v>1413</v>
      </c>
      <c r="B1396" s="4">
        <v>4798.0</v>
      </c>
      <c r="C1396" s="4" t="s">
        <v>886</v>
      </c>
      <c r="D1396" s="4" t="str">
        <f t="shared" si="1"/>
        <v>MA3</v>
      </c>
      <c r="E1396" s="4">
        <f t="shared" si="2"/>
        <v>399.8333333</v>
      </c>
      <c r="F1396" s="4">
        <f t="shared" si="3"/>
        <v>133.2777778</v>
      </c>
      <c r="G1396" s="4">
        <f t="shared" si="4"/>
        <v>400</v>
      </c>
      <c r="H1396" s="4" t="str">
        <f t="shared" si="5"/>
        <v>Binh thuong</v>
      </c>
    </row>
    <row r="1397" ht="14.25" customHeight="1">
      <c r="A1397" s="4" t="s">
        <v>1414</v>
      </c>
      <c r="B1397" s="4">
        <v>5058.0</v>
      </c>
      <c r="C1397" s="4" t="s">
        <v>886</v>
      </c>
      <c r="D1397" s="4" t="str">
        <f t="shared" si="1"/>
        <v>MA3</v>
      </c>
      <c r="E1397" s="4">
        <f t="shared" si="2"/>
        <v>421.5</v>
      </c>
      <c r="F1397" s="4">
        <f t="shared" si="3"/>
        <v>140.5</v>
      </c>
      <c r="G1397" s="4">
        <f t="shared" si="4"/>
        <v>422</v>
      </c>
      <c r="H1397" s="4" t="str">
        <f t="shared" si="5"/>
        <v>Binh thuong</v>
      </c>
    </row>
    <row r="1398" ht="14.25" customHeight="1">
      <c r="A1398" s="4" t="s">
        <v>1415</v>
      </c>
      <c r="B1398" s="4">
        <v>3326.0</v>
      </c>
      <c r="C1398" s="4" t="s">
        <v>886</v>
      </c>
      <c r="D1398" s="4" t="str">
        <f t="shared" si="1"/>
        <v>MA3</v>
      </c>
      <c r="E1398" s="4">
        <f t="shared" si="2"/>
        <v>277.1666667</v>
      </c>
      <c r="F1398" s="4">
        <f t="shared" si="3"/>
        <v>92.38888889</v>
      </c>
      <c r="G1398" s="4">
        <f t="shared" si="4"/>
        <v>277</v>
      </c>
      <c r="H1398" s="4" t="str">
        <f t="shared" si="5"/>
        <v>Binh thuong</v>
      </c>
    </row>
    <row r="1399" ht="14.25" customHeight="1">
      <c r="A1399" s="4" t="s">
        <v>1416</v>
      </c>
      <c r="B1399" s="4">
        <v>8434.0</v>
      </c>
      <c r="C1399" s="4" t="s">
        <v>886</v>
      </c>
      <c r="D1399" s="4" t="str">
        <f t="shared" si="1"/>
        <v>MA3</v>
      </c>
      <c r="E1399" s="4">
        <f t="shared" si="2"/>
        <v>702.8333333</v>
      </c>
      <c r="F1399" s="4">
        <f t="shared" si="3"/>
        <v>234.2777778</v>
      </c>
      <c r="G1399" s="4">
        <f t="shared" si="4"/>
        <v>703</v>
      </c>
      <c r="H1399" s="4" t="str">
        <f t="shared" si="5"/>
        <v>Binh thuong</v>
      </c>
    </row>
    <row r="1400" ht="14.25" customHeight="1">
      <c r="A1400" s="4" t="s">
        <v>1417</v>
      </c>
      <c r="B1400" s="4">
        <v>38973.0</v>
      </c>
      <c r="C1400" s="4" t="s">
        <v>886</v>
      </c>
      <c r="D1400" s="4" t="str">
        <f t="shared" si="1"/>
        <v>MA3</v>
      </c>
      <c r="E1400" s="4">
        <f t="shared" si="2"/>
        <v>3247.75</v>
      </c>
      <c r="F1400" s="4">
        <f t="shared" si="3"/>
        <v>1082.583333</v>
      </c>
      <c r="G1400" s="4">
        <f t="shared" si="4"/>
        <v>3248</v>
      </c>
      <c r="H1400" s="4" t="str">
        <f t="shared" si="5"/>
        <v>Binh thuong</v>
      </c>
    </row>
    <row r="1401" ht="14.25" customHeight="1">
      <c r="A1401" s="4" t="s">
        <v>1418</v>
      </c>
      <c r="B1401" s="4">
        <v>8471.0</v>
      </c>
      <c r="C1401" s="4" t="s">
        <v>886</v>
      </c>
      <c r="D1401" s="4" t="str">
        <f t="shared" si="1"/>
        <v>MA3</v>
      </c>
      <c r="E1401" s="4">
        <f t="shared" si="2"/>
        <v>705.9166667</v>
      </c>
      <c r="F1401" s="4">
        <f t="shared" si="3"/>
        <v>235.3055556</v>
      </c>
      <c r="G1401" s="4">
        <f t="shared" si="4"/>
        <v>706</v>
      </c>
      <c r="H1401" s="4" t="str">
        <f t="shared" si="5"/>
        <v>Binh thuong</v>
      </c>
    </row>
    <row r="1402" ht="14.25" customHeight="1">
      <c r="A1402" s="4" t="s">
        <v>1419</v>
      </c>
      <c r="B1402" s="4">
        <v>6820.0</v>
      </c>
      <c r="C1402" s="4" t="s">
        <v>886</v>
      </c>
      <c r="D1402" s="4" t="str">
        <f t="shared" si="1"/>
        <v>MA3</v>
      </c>
      <c r="E1402" s="4">
        <f t="shared" si="2"/>
        <v>568.3333333</v>
      </c>
      <c r="F1402" s="4">
        <f t="shared" si="3"/>
        <v>189.4444444</v>
      </c>
      <c r="G1402" s="4">
        <f t="shared" si="4"/>
        <v>568</v>
      </c>
      <c r="H1402" s="4" t="str">
        <f t="shared" si="5"/>
        <v>Binh thuong</v>
      </c>
    </row>
    <row r="1403" ht="14.25" customHeight="1">
      <c r="A1403" s="4" t="s">
        <v>1420</v>
      </c>
      <c r="B1403" s="4">
        <v>18751.0</v>
      </c>
      <c r="C1403" s="4" t="s">
        <v>886</v>
      </c>
      <c r="D1403" s="4" t="str">
        <f t="shared" si="1"/>
        <v>MA3</v>
      </c>
      <c r="E1403" s="4">
        <f t="shared" si="2"/>
        <v>1562.583333</v>
      </c>
      <c r="F1403" s="4">
        <f t="shared" si="3"/>
        <v>520.8611111</v>
      </c>
      <c r="G1403" s="4">
        <f t="shared" si="4"/>
        <v>1563</v>
      </c>
      <c r="H1403" s="4" t="str">
        <f t="shared" si="5"/>
        <v>Binh thuong</v>
      </c>
    </row>
    <row r="1404" ht="14.25" customHeight="1">
      <c r="A1404" s="4" t="s">
        <v>1421</v>
      </c>
      <c r="B1404" s="4">
        <v>9370.0</v>
      </c>
      <c r="C1404" s="4" t="s">
        <v>886</v>
      </c>
      <c r="D1404" s="4" t="str">
        <f t="shared" si="1"/>
        <v>MA3</v>
      </c>
      <c r="E1404" s="4">
        <f t="shared" si="2"/>
        <v>780.8333333</v>
      </c>
      <c r="F1404" s="4">
        <f t="shared" si="3"/>
        <v>260.2777778</v>
      </c>
      <c r="G1404" s="4">
        <f t="shared" si="4"/>
        <v>781</v>
      </c>
      <c r="H1404" s="4" t="str">
        <f t="shared" si="5"/>
        <v>Binh thuong</v>
      </c>
    </row>
    <row r="1405" ht="14.25" customHeight="1">
      <c r="A1405" s="4" t="s">
        <v>1422</v>
      </c>
      <c r="B1405" s="4">
        <v>14820.0</v>
      </c>
      <c r="C1405" s="4" t="s">
        <v>886</v>
      </c>
      <c r="D1405" s="4" t="str">
        <f t="shared" si="1"/>
        <v>MA3</v>
      </c>
      <c r="E1405" s="4">
        <f t="shared" si="2"/>
        <v>1235</v>
      </c>
      <c r="F1405" s="4">
        <f t="shared" si="3"/>
        <v>411.6666667</v>
      </c>
      <c r="G1405" s="4">
        <f t="shared" si="4"/>
        <v>1235</v>
      </c>
      <c r="H1405" s="4" t="str">
        <f t="shared" si="5"/>
        <v>Binh thuong</v>
      </c>
    </row>
    <row r="1406" ht="14.25" customHeight="1">
      <c r="A1406" s="4" t="s">
        <v>1423</v>
      </c>
      <c r="B1406" s="4">
        <v>9676.0</v>
      </c>
      <c r="C1406" s="4" t="s">
        <v>886</v>
      </c>
      <c r="D1406" s="4" t="str">
        <f t="shared" si="1"/>
        <v>MA3</v>
      </c>
      <c r="E1406" s="4">
        <f t="shared" si="2"/>
        <v>806.3333333</v>
      </c>
      <c r="F1406" s="4">
        <f t="shared" si="3"/>
        <v>268.7777778</v>
      </c>
      <c r="G1406" s="4">
        <f t="shared" si="4"/>
        <v>806</v>
      </c>
      <c r="H1406" s="4" t="str">
        <f t="shared" si="5"/>
        <v>Binh thuong</v>
      </c>
    </row>
    <row r="1407" ht="14.25" customHeight="1">
      <c r="A1407" s="4" t="s">
        <v>1424</v>
      </c>
      <c r="B1407" s="4">
        <v>30196.0</v>
      </c>
      <c r="C1407" s="4" t="s">
        <v>886</v>
      </c>
      <c r="D1407" s="4" t="str">
        <f t="shared" si="1"/>
        <v>MA3</v>
      </c>
      <c r="E1407" s="4">
        <f t="shared" si="2"/>
        <v>2516.333333</v>
      </c>
      <c r="F1407" s="4">
        <f t="shared" si="3"/>
        <v>838.7777778</v>
      </c>
      <c r="G1407" s="4">
        <f t="shared" si="4"/>
        <v>2516</v>
      </c>
      <c r="H1407" s="4" t="str">
        <f t="shared" si="5"/>
        <v>Binh thuong</v>
      </c>
    </row>
    <row r="1408" ht="14.25" customHeight="1">
      <c r="A1408" s="4" t="s">
        <v>1425</v>
      </c>
      <c r="B1408" s="4">
        <v>42321.0</v>
      </c>
      <c r="C1408" s="4" t="s">
        <v>886</v>
      </c>
      <c r="D1408" s="4" t="str">
        <f t="shared" si="1"/>
        <v>MA3</v>
      </c>
      <c r="E1408" s="4">
        <f t="shared" si="2"/>
        <v>3526.75</v>
      </c>
      <c r="F1408" s="4">
        <f t="shared" si="3"/>
        <v>1175.583333</v>
      </c>
      <c r="G1408" s="4">
        <f t="shared" si="4"/>
        <v>3527</v>
      </c>
      <c r="H1408" s="4" t="str">
        <f t="shared" si="5"/>
        <v>Uu tien cao</v>
      </c>
    </row>
    <row r="1409" ht="14.25" customHeight="1">
      <c r="A1409" s="4" t="s">
        <v>1426</v>
      </c>
      <c r="B1409" s="4">
        <v>51280.0</v>
      </c>
      <c r="C1409" s="4" t="s">
        <v>886</v>
      </c>
      <c r="D1409" s="4" t="str">
        <f t="shared" si="1"/>
        <v>MA3</v>
      </c>
      <c r="E1409" s="4">
        <f t="shared" si="2"/>
        <v>4273.333333</v>
      </c>
      <c r="F1409" s="4">
        <f t="shared" si="3"/>
        <v>1424.444444</v>
      </c>
      <c r="G1409" s="4">
        <f t="shared" si="4"/>
        <v>4273</v>
      </c>
      <c r="H1409" s="4" t="str">
        <f t="shared" si="5"/>
        <v>Uu tien cao</v>
      </c>
    </row>
    <row r="1410" ht="14.25" customHeight="1">
      <c r="A1410" s="4" t="s">
        <v>1427</v>
      </c>
      <c r="B1410" s="4">
        <v>16452.0</v>
      </c>
      <c r="C1410" s="4" t="s">
        <v>886</v>
      </c>
      <c r="D1410" s="4" t="str">
        <f t="shared" si="1"/>
        <v>MA3</v>
      </c>
      <c r="E1410" s="4">
        <f t="shared" si="2"/>
        <v>1371</v>
      </c>
      <c r="F1410" s="4">
        <f t="shared" si="3"/>
        <v>457</v>
      </c>
      <c r="G1410" s="4">
        <f t="shared" si="4"/>
        <v>1371</v>
      </c>
      <c r="H1410" s="4" t="str">
        <f t="shared" si="5"/>
        <v>Binh thuong</v>
      </c>
    </row>
    <row r="1411" ht="14.25" customHeight="1">
      <c r="A1411" s="4" t="s">
        <v>1428</v>
      </c>
      <c r="B1411" s="4">
        <v>4955.0</v>
      </c>
      <c r="C1411" s="4" t="s">
        <v>886</v>
      </c>
      <c r="D1411" s="4" t="str">
        <f t="shared" si="1"/>
        <v>MA3</v>
      </c>
      <c r="E1411" s="4">
        <f t="shared" si="2"/>
        <v>412.9166667</v>
      </c>
      <c r="F1411" s="4">
        <f t="shared" si="3"/>
        <v>137.6388889</v>
      </c>
      <c r="G1411" s="4">
        <f t="shared" si="4"/>
        <v>413</v>
      </c>
      <c r="H1411" s="4" t="str">
        <f t="shared" si="5"/>
        <v>Binh thuong</v>
      </c>
    </row>
    <row r="1412" ht="14.25" customHeight="1">
      <c r="A1412" s="4" t="s">
        <v>1429</v>
      </c>
      <c r="B1412" s="4">
        <v>38367.0</v>
      </c>
      <c r="C1412" s="4" t="s">
        <v>886</v>
      </c>
      <c r="D1412" s="4" t="str">
        <f t="shared" si="1"/>
        <v>MA3</v>
      </c>
      <c r="E1412" s="4">
        <f t="shared" si="2"/>
        <v>3197.25</v>
      </c>
      <c r="F1412" s="4">
        <f t="shared" si="3"/>
        <v>1065.75</v>
      </c>
      <c r="G1412" s="4">
        <f t="shared" si="4"/>
        <v>3197</v>
      </c>
      <c r="H1412" s="4" t="str">
        <f t="shared" si="5"/>
        <v>Binh thuong</v>
      </c>
    </row>
    <row r="1413" ht="14.25" customHeight="1">
      <c r="A1413" s="4" t="s">
        <v>1430</v>
      </c>
      <c r="B1413" s="4">
        <v>45606.0</v>
      </c>
      <c r="C1413" s="4" t="s">
        <v>886</v>
      </c>
      <c r="D1413" s="4" t="str">
        <f t="shared" si="1"/>
        <v>MA3</v>
      </c>
      <c r="E1413" s="4">
        <f t="shared" si="2"/>
        <v>3800.5</v>
      </c>
      <c r="F1413" s="4">
        <f t="shared" si="3"/>
        <v>1266.833333</v>
      </c>
      <c r="G1413" s="4">
        <f t="shared" si="4"/>
        <v>3801</v>
      </c>
      <c r="H1413" s="4" t="str">
        <f t="shared" si="5"/>
        <v>Uu tien cao</v>
      </c>
    </row>
    <row r="1414" ht="14.25" customHeight="1">
      <c r="A1414" s="4" t="s">
        <v>1431</v>
      </c>
      <c r="B1414" s="4">
        <v>37966.0</v>
      </c>
      <c r="C1414" s="4" t="s">
        <v>886</v>
      </c>
      <c r="D1414" s="4" t="str">
        <f t="shared" si="1"/>
        <v>MA3</v>
      </c>
      <c r="E1414" s="4">
        <f t="shared" si="2"/>
        <v>3163.833333</v>
      </c>
      <c r="F1414" s="4">
        <f t="shared" si="3"/>
        <v>1054.611111</v>
      </c>
      <c r="G1414" s="4">
        <f t="shared" si="4"/>
        <v>3164</v>
      </c>
      <c r="H1414" s="4" t="str">
        <f t="shared" si="5"/>
        <v>Binh thuong</v>
      </c>
    </row>
    <row r="1415" ht="14.25" customHeight="1">
      <c r="A1415" s="4" t="s">
        <v>1432</v>
      </c>
      <c r="B1415" s="4">
        <v>3459.0</v>
      </c>
      <c r="C1415" s="4" t="s">
        <v>886</v>
      </c>
      <c r="D1415" s="4" t="str">
        <f t="shared" si="1"/>
        <v>MA3</v>
      </c>
      <c r="E1415" s="4">
        <f t="shared" si="2"/>
        <v>288.25</v>
      </c>
      <c r="F1415" s="4">
        <f t="shared" si="3"/>
        <v>96.08333333</v>
      </c>
      <c r="G1415" s="4">
        <f t="shared" si="4"/>
        <v>288</v>
      </c>
      <c r="H1415" s="4" t="str">
        <f t="shared" si="5"/>
        <v>Binh thuong</v>
      </c>
    </row>
    <row r="1416" ht="14.25" customHeight="1">
      <c r="A1416" s="4" t="s">
        <v>1433</v>
      </c>
      <c r="B1416" s="4">
        <v>34240.0</v>
      </c>
      <c r="C1416" s="4" t="s">
        <v>886</v>
      </c>
      <c r="D1416" s="4" t="str">
        <f t="shared" si="1"/>
        <v>MA3</v>
      </c>
      <c r="E1416" s="4">
        <f t="shared" si="2"/>
        <v>2853.333333</v>
      </c>
      <c r="F1416" s="4">
        <f t="shared" si="3"/>
        <v>951.1111111</v>
      </c>
      <c r="G1416" s="4">
        <f t="shared" si="4"/>
        <v>2853</v>
      </c>
      <c r="H1416" s="4" t="str">
        <f t="shared" si="5"/>
        <v>Binh thuong</v>
      </c>
    </row>
    <row r="1417" ht="14.25" customHeight="1">
      <c r="A1417" s="4" t="s">
        <v>1434</v>
      </c>
      <c r="B1417" s="4">
        <v>11544.0</v>
      </c>
      <c r="C1417" s="4" t="s">
        <v>886</v>
      </c>
      <c r="D1417" s="4" t="str">
        <f t="shared" si="1"/>
        <v>MA3</v>
      </c>
      <c r="E1417" s="4">
        <f t="shared" si="2"/>
        <v>962</v>
      </c>
      <c r="F1417" s="4">
        <f t="shared" si="3"/>
        <v>320.6666667</v>
      </c>
      <c r="G1417" s="4">
        <f t="shared" si="4"/>
        <v>962</v>
      </c>
      <c r="H1417" s="4" t="str">
        <f t="shared" si="5"/>
        <v>Binh thuong</v>
      </c>
    </row>
    <row r="1418" ht="14.25" customHeight="1">
      <c r="A1418" s="4" t="s">
        <v>1435</v>
      </c>
      <c r="B1418" s="4">
        <v>35286.0</v>
      </c>
      <c r="C1418" s="4" t="s">
        <v>886</v>
      </c>
      <c r="D1418" s="4" t="str">
        <f t="shared" si="1"/>
        <v>MA3</v>
      </c>
      <c r="E1418" s="4">
        <f t="shared" si="2"/>
        <v>2940.5</v>
      </c>
      <c r="F1418" s="4">
        <f t="shared" si="3"/>
        <v>980.1666667</v>
      </c>
      <c r="G1418" s="4">
        <f t="shared" si="4"/>
        <v>2941</v>
      </c>
      <c r="H1418" s="4" t="str">
        <f t="shared" si="5"/>
        <v>Binh thuong</v>
      </c>
    </row>
    <row r="1419" ht="14.25" customHeight="1">
      <c r="A1419" s="4" t="s">
        <v>1436</v>
      </c>
      <c r="B1419" s="4">
        <v>17238.0</v>
      </c>
      <c r="C1419" s="4" t="s">
        <v>886</v>
      </c>
      <c r="D1419" s="4" t="str">
        <f t="shared" si="1"/>
        <v>MA3</v>
      </c>
      <c r="E1419" s="4">
        <f t="shared" si="2"/>
        <v>1436.5</v>
      </c>
      <c r="F1419" s="4">
        <f t="shared" si="3"/>
        <v>478.8333333</v>
      </c>
      <c r="G1419" s="4">
        <f t="shared" si="4"/>
        <v>1437</v>
      </c>
      <c r="H1419" s="4" t="str">
        <f t="shared" si="5"/>
        <v>Binh thuong</v>
      </c>
    </row>
    <row r="1420" ht="14.25" customHeight="1">
      <c r="A1420" s="4" t="s">
        <v>1437</v>
      </c>
      <c r="B1420" s="4">
        <v>37494.0</v>
      </c>
      <c r="C1420" s="4" t="s">
        <v>886</v>
      </c>
      <c r="D1420" s="4" t="str">
        <f t="shared" si="1"/>
        <v>MA3</v>
      </c>
      <c r="E1420" s="4">
        <f t="shared" si="2"/>
        <v>3124.5</v>
      </c>
      <c r="F1420" s="4">
        <f t="shared" si="3"/>
        <v>1041.5</v>
      </c>
      <c r="G1420" s="4">
        <f t="shared" si="4"/>
        <v>3125</v>
      </c>
      <c r="H1420" s="4" t="str">
        <f t="shared" si="5"/>
        <v>Binh thuong</v>
      </c>
    </row>
    <row r="1421" ht="14.25" customHeight="1">
      <c r="A1421" s="4" t="s">
        <v>1438</v>
      </c>
      <c r="B1421" s="4">
        <v>16653.0</v>
      </c>
      <c r="C1421" s="4" t="s">
        <v>886</v>
      </c>
      <c r="D1421" s="4" t="str">
        <f t="shared" si="1"/>
        <v>MA3</v>
      </c>
      <c r="E1421" s="4">
        <f t="shared" si="2"/>
        <v>1387.75</v>
      </c>
      <c r="F1421" s="4">
        <f t="shared" si="3"/>
        <v>462.5833333</v>
      </c>
      <c r="G1421" s="4">
        <f t="shared" si="4"/>
        <v>1388</v>
      </c>
      <c r="H1421" s="4" t="str">
        <f t="shared" si="5"/>
        <v>Binh thuong</v>
      </c>
    </row>
    <row r="1422" ht="14.25" customHeight="1">
      <c r="A1422" s="4" t="s">
        <v>1439</v>
      </c>
      <c r="B1422" s="4">
        <v>15672.0</v>
      </c>
      <c r="C1422" s="4" t="s">
        <v>886</v>
      </c>
      <c r="D1422" s="4" t="str">
        <f t="shared" si="1"/>
        <v>MA3</v>
      </c>
      <c r="E1422" s="4">
        <f t="shared" si="2"/>
        <v>1306</v>
      </c>
      <c r="F1422" s="4">
        <f t="shared" si="3"/>
        <v>435.3333333</v>
      </c>
      <c r="G1422" s="4">
        <f t="shared" si="4"/>
        <v>1306</v>
      </c>
      <c r="H1422" s="4" t="str">
        <f t="shared" si="5"/>
        <v>Binh thuong</v>
      </c>
    </row>
    <row r="1423" ht="14.25" customHeight="1">
      <c r="A1423" s="4" t="s">
        <v>1440</v>
      </c>
      <c r="B1423" s="4">
        <v>19015.0</v>
      </c>
      <c r="C1423" s="4" t="s">
        <v>886</v>
      </c>
      <c r="D1423" s="4" t="str">
        <f t="shared" si="1"/>
        <v>MA3</v>
      </c>
      <c r="E1423" s="4">
        <f t="shared" si="2"/>
        <v>1584.583333</v>
      </c>
      <c r="F1423" s="4">
        <f t="shared" si="3"/>
        <v>528.1944444</v>
      </c>
      <c r="G1423" s="4">
        <f t="shared" si="4"/>
        <v>1585</v>
      </c>
      <c r="H1423" s="4" t="str">
        <f t="shared" si="5"/>
        <v>Binh thuong</v>
      </c>
    </row>
    <row r="1424" ht="14.25" customHeight="1">
      <c r="A1424" s="4" t="s">
        <v>1441</v>
      </c>
      <c r="B1424" s="4">
        <v>6370.0</v>
      </c>
      <c r="C1424" s="4" t="s">
        <v>886</v>
      </c>
      <c r="D1424" s="4" t="str">
        <f t="shared" si="1"/>
        <v>MA3</v>
      </c>
      <c r="E1424" s="4">
        <f t="shared" si="2"/>
        <v>530.8333333</v>
      </c>
      <c r="F1424" s="4">
        <f t="shared" si="3"/>
        <v>176.9444444</v>
      </c>
      <c r="G1424" s="4">
        <f t="shared" si="4"/>
        <v>531</v>
      </c>
      <c r="H1424" s="4" t="str">
        <f t="shared" si="5"/>
        <v>Binh thuong</v>
      </c>
    </row>
    <row r="1425" ht="14.25" customHeight="1">
      <c r="A1425" s="4" t="s">
        <v>1442</v>
      </c>
      <c r="B1425" s="4">
        <v>15440.0</v>
      </c>
      <c r="C1425" s="4" t="s">
        <v>886</v>
      </c>
      <c r="D1425" s="4" t="str">
        <f t="shared" si="1"/>
        <v>MA3</v>
      </c>
      <c r="E1425" s="4">
        <f t="shared" si="2"/>
        <v>1286.666667</v>
      </c>
      <c r="F1425" s="4">
        <f t="shared" si="3"/>
        <v>428.8888889</v>
      </c>
      <c r="G1425" s="4">
        <f t="shared" si="4"/>
        <v>1287</v>
      </c>
      <c r="H1425" s="4" t="str">
        <f t="shared" si="5"/>
        <v>Binh thuong</v>
      </c>
    </row>
    <row r="1426" ht="14.25" customHeight="1">
      <c r="A1426" s="4" t="s">
        <v>1443</v>
      </c>
      <c r="B1426" s="4">
        <v>9791.0</v>
      </c>
      <c r="C1426" s="4" t="s">
        <v>886</v>
      </c>
      <c r="D1426" s="4" t="str">
        <f t="shared" si="1"/>
        <v>MA3</v>
      </c>
      <c r="E1426" s="4">
        <f t="shared" si="2"/>
        <v>815.9166667</v>
      </c>
      <c r="F1426" s="4">
        <f t="shared" si="3"/>
        <v>271.9722222</v>
      </c>
      <c r="G1426" s="4">
        <f t="shared" si="4"/>
        <v>816</v>
      </c>
      <c r="H1426" s="4" t="str">
        <f t="shared" si="5"/>
        <v>Binh thuong</v>
      </c>
    </row>
    <row r="1427" ht="14.25" customHeight="1">
      <c r="A1427" s="4" t="s">
        <v>1444</v>
      </c>
      <c r="B1427" s="4">
        <v>3362.0</v>
      </c>
      <c r="C1427" s="4" t="s">
        <v>886</v>
      </c>
      <c r="D1427" s="4" t="str">
        <f t="shared" si="1"/>
        <v>MA3</v>
      </c>
      <c r="E1427" s="4">
        <f t="shared" si="2"/>
        <v>280.1666667</v>
      </c>
      <c r="F1427" s="4">
        <f t="shared" si="3"/>
        <v>93.38888889</v>
      </c>
      <c r="G1427" s="4">
        <f t="shared" si="4"/>
        <v>280</v>
      </c>
      <c r="H1427" s="4" t="str">
        <f t="shared" si="5"/>
        <v>Binh thuong</v>
      </c>
    </row>
    <row r="1428" ht="14.25" customHeight="1">
      <c r="A1428" s="4" t="s">
        <v>1445</v>
      </c>
      <c r="B1428" s="4">
        <v>11373.0</v>
      </c>
      <c r="C1428" s="4" t="s">
        <v>886</v>
      </c>
      <c r="D1428" s="4" t="str">
        <f t="shared" si="1"/>
        <v>MA3</v>
      </c>
      <c r="E1428" s="4">
        <f t="shared" si="2"/>
        <v>947.75</v>
      </c>
      <c r="F1428" s="4">
        <f t="shared" si="3"/>
        <v>315.9166667</v>
      </c>
      <c r="G1428" s="4">
        <f t="shared" si="4"/>
        <v>948</v>
      </c>
      <c r="H1428" s="4" t="str">
        <f t="shared" si="5"/>
        <v>Binh thuong</v>
      </c>
    </row>
    <row r="1429" ht="14.25" customHeight="1">
      <c r="A1429" s="4" t="s">
        <v>1446</v>
      </c>
      <c r="B1429" s="4">
        <v>2634.0</v>
      </c>
      <c r="C1429" s="4" t="s">
        <v>886</v>
      </c>
      <c r="D1429" s="4" t="str">
        <f t="shared" si="1"/>
        <v>MA3</v>
      </c>
      <c r="E1429" s="4">
        <f t="shared" si="2"/>
        <v>219.5</v>
      </c>
      <c r="F1429" s="4">
        <f t="shared" si="3"/>
        <v>73.16666667</v>
      </c>
      <c r="G1429" s="4">
        <f t="shared" si="4"/>
        <v>220</v>
      </c>
      <c r="H1429" s="4" t="str">
        <f t="shared" si="5"/>
        <v>Binh thuong</v>
      </c>
    </row>
    <row r="1430" ht="14.25" customHeight="1">
      <c r="A1430" s="4" t="s">
        <v>1447</v>
      </c>
      <c r="B1430" s="4">
        <v>5264.0</v>
      </c>
      <c r="C1430" s="4" t="s">
        <v>886</v>
      </c>
      <c r="D1430" s="4" t="str">
        <f t="shared" si="1"/>
        <v>MA3</v>
      </c>
      <c r="E1430" s="4">
        <f t="shared" si="2"/>
        <v>438.6666667</v>
      </c>
      <c r="F1430" s="4">
        <f t="shared" si="3"/>
        <v>146.2222222</v>
      </c>
      <c r="G1430" s="4">
        <f t="shared" si="4"/>
        <v>439</v>
      </c>
      <c r="H1430" s="4" t="str">
        <f t="shared" si="5"/>
        <v>Binh thuong</v>
      </c>
    </row>
    <row r="1431" ht="14.25" customHeight="1">
      <c r="A1431" s="4" t="s">
        <v>1448</v>
      </c>
      <c r="B1431" s="4">
        <v>7883.0</v>
      </c>
      <c r="C1431" s="4" t="s">
        <v>886</v>
      </c>
      <c r="D1431" s="4" t="str">
        <f t="shared" si="1"/>
        <v>MA3</v>
      </c>
      <c r="E1431" s="4">
        <f t="shared" si="2"/>
        <v>656.9166667</v>
      </c>
      <c r="F1431" s="4">
        <f t="shared" si="3"/>
        <v>218.9722222</v>
      </c>
      <c r="G1431" s="4">
        <f t="shared" si="4"/>
        <v>657</v>
      </c>
      <c r="H1431" s="4" t="str">
        <f t="shared" si="5"/>
        <v>Binh thuong</v>
      </c>
    </row>
    <row r="1432" ht="14.25" customHeight="1">
      <c r="A1432" s="4" t="s">
        <v>1449</v>
      </c>
      <c r="B1432" s="4">
        <v>20565.0</v>
      </c>
      <c r="C1432" s="4" t="s">
        <v>886</v>
      </c>
      <c r="D1432" s="4" t="str">
        <f t="shared" si="1"/>
        <v>MA3</v>
      </c>
      <c r="E1432" s="4">
        <f t="shared" si="2"/>
        <v>1713.75</v>
      </c>
      <c r="F1432" s="4">
        <f t="shared" si="3"/>
        <v>571.25</v>
      </c>
      <c r="G1432" s="4">
        <f t="shared" si="4"/>
        <v>1714</v>
      </c>
      <c r="H1432" s="4" t="str">
        <f t="shared" si="5"/>
        <v>Binh thuong</v>
      </c>
    </row>
    <row r="1433" ht="14.25" customHeight="1">
      <c r="A1433" s="4" t="s">
        <v>1450</v>
      </c>
      <c r="B1433" s="4">
        <v>43834.0</v>
      </c>
      <c r="C1433" s="4" t="s">
        <v>886</v>
      </c>
      <c r="D1433" s="4" t="str">
        <f t="shared" si="1"/>
        <v>MA3</v>
      </c>
      <c r="E1433" s="4">
        <f t="shared" si="2"/>
        <v>3652.833333</v>
      </c>
      <c r="F1433" s="4">
        <f t="shared" si="3"/>
        <v>1217.611111</v>
      </c>
      <c r="G1433" s="4">
        <f t="shared" si="4"/>
        <v>3653</v>
      </c>
      <c r="H1433" s="4" t="str">
        <f t="shared" si="5"/>
        <v>Uu tien cao</v>
      </c>
    </row>
    <row r="1434" ht="14.25" customHeight="1">
      <c r="A1434" s="4" t="s">
        <v>1451</v>
      </c>
      <c r="B1434" s="4">
        <v>47398.0</v>
      </c>
      <c r="C1434" s="4" t="s">
        <v>886</v>
      </c>
      <c r="D1434" s="4" t="str">
        <f t="shared" si="1"/>
        <v>MA3</v>
      </c>
      <c r="E1434" s="4">
        <f t="shared" si="2"/>
        <v>3949.833333</v>
      </c>
      <c r="F1434" s="4">
        <f t="shared" si="3"/>
        <v>1316.611111</v>
      </c>
      <c r="G1434" s="4">
        <f t="shared" si="4"/>
        <v>3950</v>
      </c>
      <c r="H1434" s="4" t="str">
        <f t="shared" si="5"/>
        <v>Uu tien cao</v>
      </c>
    </row>
    <row r="1435" ht="14.25" customHeight="1">
      <c r="A1435" s="4" t="s">
        <v>1452</v>
      </c>
      <c r="B1435" s="4">
        <v>98338.0</v>
      </c>
      <c r="C1435" s="4" t="s">
        <v>886</v>
      </c>
      <c r="D1435" s="4" t="str">
        <f t="shared" si="1"/>
        <v>MA3</v>
      </c>
      <c r="E1435" s="4">
        <f t="shared" si="2"/>
        <v>8194.833333</v>
      </c>
      <c r="F1435" s="4">
        <f t="shared" si="3"/>
        <v>2731.611111</v>
      </c>
      <c r="G1435" s="4">
        <f t="shared" si="4"/>
        <v>8195</v>
      </c>
      <c r="H1435" s="4" t="str">
        <f t="shared" si="5"/>
        <v>Uu tien cao</v>
      </c>
    </row>
    <row r="1436" ht="14.25" customHeight="1">
      <c r="A1436" s="4" t="s">
        <v>1453</v>
      </c>
      <c r="B1436" s="4">
        <v>108125.0</v>
      </c>
      <c r="C1436" s="4" t="s">
        <v>886</v>
      </c>
      <c r="D1436" s="4" t="str">
        <f t="shared" si="1"/>
        <v>MA3</v>
      </c>
      <c r="E1436" s="4">
        <f t="shared" si="2"/>
        <v>9010.416667</v>
      </c>
      <c r="F1436" s="4">
        <f t="shared" si="3"/>
        <v>3003.472222</v>
      </c>
      <c r="G1436" s="4">
        <f t="shared" si="4"/>
        <v>9010</v>
      </c>
      <c r="H1436" s="4" t="str">
        <f t="shared" si="5"/>
        <v>Uu tien cao</v>
      </c>
    </row>
    <row r="1437" ht="14.25" customHeight="1">
      <c r="A1437" s="4" t="s">
        <v>1454</v>
      </c>
      <c r="B1437" s="4">
        <v>55117.0</v>
      </c>
      <c r="C1437" s="4" t="s">
        <v>886</v>
      </c>
      <c r="D1437" s="4" t="str">
        <f t="shared" si="1"/>
        <v>MA3</v>
      </c>
      <c r="E1437" s="4">
        <f t="shared" si="2"/>
        <v>4593.083333</v>
      </c>
      <c r="F1437" s="4">
        <f t="shared" si="3"/>
        <v>1531.027778</v>
      </c>
      <c r="G1437" s="4">
        <f t="shared" si="4"/>
        <v>4593</v>
      </c>
      <c r="H1437" s="4" t="str">
        <f t="shared" si="5"/>
        <v>Uu tien cao</v>
      </c>
    </row>
    <row r="1438" ht="14.25" customHeight="1">
      <c r="A1438" s="4" t="s">
        <v>1455</v>
      </c>
      <c r="B1438" s="4">
        <v>50720.0</v>
      </c>
      <c r="C1438" s="4" t="s">
        <v>886</v>
      </c>
      <c r="D1438" s="4" t="str">
        <f t="shared" si="1"/>
        <v>MA3</v>
      </c>
      <c r="E1438" s="4">
        <f t="shared" si="2"/>
        <v>4226.666667</v>
      </c>
      <c r="F1438" s="4">
        <f t="shared" si="3"/>
        <v>1408.888889</v>
      </c>
      <c r="G1438" s="4">
        <f t="shared" si="4"/>
        <v>4227</v>
      </c>
      <c r="H1438" s="4" t="str">
        <f t="shared" si="5"/>
        <v>Uu tien cao</v>
      </c>
    </row>
    <row r="1439" ht="14.25" customHeight="1">
      <c r="A1439" s="4" t="s">
        <v>1456</v>
      </c>
      <c r="B1439" s="4">
        <v>23982.0</v>
      </c>
      <c r="C1439" s="4" t="s">
        <v>886</v>
      </c>
      <c r="D1439" s="4" t="str">
        <f t="shared" si="1"/>
        <v>MA3</v>
      </c>
      <c r="E1439" s="4">
        <f t="shared" si="2"/>
        <v>1998.5</v>
      </c>
      <c r="F1439" s="4">
        <f t="shared" si="3"/>
        <v>666.1666667</v>
      </c>
      <c r="G1439" s="4">
        <f t="shared" si="4"/>
        <v>1999</v>
      </c>
      <c r="H1439" s="4" t="str">
        <f t="shared" si="5"/>
        <v>Binh thuong</v>
      </c>
    </row>
    <row r="1440" ht="14.25" customHeight="1">
      <c r="A1440" s="4" t="s">
        <v>1457</v>
      </c>
      <c r="B1440" s="4">
        <v>120178.0</v>
      </c>
      <c r="C1440" s="4" t="s">
        <v>886</v>
      </c>
      <c r="D1440" s="4" t="str">
        <f t="shared" si="1"/>
        <v>MA3</v>
      </c>
      <c r="E1440" s="4">
        <f t="shared" si="2"/>
        <v>10014.83333</v>
      </c>
      <c r="F1440" s="4">
        <f t="shared" si="3"/>
        <v>3338.277778</v>
      </c>
      <c r="G1440" s="4">
        <f t="shared" si="4"/>
        <v>10015</v>
      </c>
      <c r="H1440" s="4" t="str">
        <f t="shared" si="5"/>
        <v>Uu tien cao</v>
      </c>
    </row>
    <row r="1441" ht="14.25" customHeight="1">
      <c r="A1441" s="4" t="s">
        <v>1458</v>
      </c>
      <c r="B1441" s="4">
        <v>77920.0</v>
      </c>
      <c r="C1441" s="4" t="s">
        <v>886</v>
      </c>
      <c r="D1441" s="4" t="str">
        <f t="shared" si="1"/>
        <v>MA3</v>
      </c>
      <c r="E1441" s="4">
        <f t="shared" si="2"/>
        <v>6493.333333</v>
      </c>
      <c r="F1441" s="4">
        <f t="shared" si="3"/>
        <v>2164.444444</v>
      </c>
      <c r="G1441" s="4">
        <f t="shared" si="4"/>
        <v>6493</v>
      </c>
      <c r="H1441" s="4" t="str">
        <f t="shared" si="5"/>
        <v>Uu tien cao</v>
      </c>
    </row>
    <row r="1442" ht="14.25" customHeight="1">
      <c r="A1442" s="4" t="s">
        <v>1459</v>
      </c>
      <c r="B1442" s="4">
        <v>57091.0</v>
      </c>
      <c r="C1442" s="4" t="s">
        <v>886</v>
      </c>
      <c r="D1442" s="4" t="str">
        <f t="shared" si="1"/>
        <v>MA3</v>
      </c>
      <c r="E1442" s="4">
        <f t="shared" si="2"/>
        <v>4757.583333</v>
      </c>
      <c r="F1442" s="4">
        <f t="shared" si="3"/>
        <v>1585.861111</v>
      </c>
      <c r="G1442" s="4">
        <f t="shared" si="4"/>
        <v>4758</v>
      </c>
      <c r="H1442" s="4" t="str">
        <f t="shared" si="5"/>
        <v>Uu tien cao</v>
      </c>
    </row>
    <row r="1443" ht="14.25" customHeight="1">
      <c r="A1443" s="4" t="s">
        <v>1460</v>
      </c>
      <c r="B1443" s="4">
        <v>180775.0</v>
      </c>
      <c r="C1443" s="4" t="s">
        <v>886</v>
      </c>
      <c r="D1443" s="4" t="str">
        <f t="shared" si="1"/>
        <v>MA3</v>
      </c>
      <c r="E1443" s="4">
        <f t="shared" si="2"/>
        <v>15064.58333</v>
      </c>
      <c r="F1443" s="4">
        <f t="shared" si="3"/>
        <v>5021.527778</v>
      </c>
      <c r="G1443" s="4">
        <f t="shared" si="4"/>
        <v>15065</v>
      </c>
      <c r="H1443" s="4" t="str">
        <f t="shared" si="5"/>
        <v>Uu tien cao</v>
      </c>
    </row>
    <row r="1444" ht="14.25" customHeight="1">
      <c r="A1444" s="4" t="s">
        <v>1461</v>
      </c>
      <c r="B1444" s="4">
        <v>4049305.1</v>
      </c>
      <c r="C1444" s="4" t="s">
        <v>886</v>
      </c>
      <c r="D1444" s="4" t="str">
        <f t="shared" si="1"/>
        <v>MA3</v>
      </c>
      <c r="E1444" s="4">
        <f t="shared" si="2"/>
        <v>337442.0917</v>
      </c>
      <c r="F1444" s="4">
        <f t="shared" si="3"/>
        <v>112480.6972</v>
      </c>
      <c r="G1444" s="4">
        <f t="shared" si="4"/>
        <v>337442</v>
      </c>
      <c r="H1444" s="4" t="str">
        <f t="shared" si="5"/>
        <v>Uu tien cao</v>
      </c>
    </row>
    <row r="1445" ht="14.25" customHeight="1">
      <c r="A1445" s="4" t="s">
        <v>1462</v>
      </c>
      <c r="B1445" s="4">
        <v>317500.0</v>
      </c>
      <c r="C1445" s="4" t="s">
        <v>886</v>
      </c>
      <c r="D1445" s="4" t="str">
        <f t="shared" si="1"/>
        <v>MA3</v>
      </c>
      <c r="E1445" s="4">
        <f t="shared" si="2"/>
        <v>26458.33333</v>
      </c>
      <c r="F1445" s="4">
        <f t="shared" si="3"/>
        <v>8819.444444</v>
      </c>
      <c r="G1445" s="4">
        <f t="shared" si="4"/>
        <v>26458</v>
      </c>
      <c r="H1445" s="4" t="str">
        <f t="shared" si="5"/>
        <v>Uu tien cao</v>
      </c>
    </row>
    <row r="1446" ht="14.25" customHeight="1">
      <c r="A1446" s="4" t="s">
        <v>1463</v>
      </c>
      <c r="B1446" s="4">
        <v>93482.0</v>
      </c>
      <c r="C1446" s="4" t="s">
        <v>886</v>
      </c>
      <c r="D1446" s="4" t="str">
        <f t="shared" si="1"/>
        <v>MA3</v>
      </c>
      <c r="E1446" s="4">
        <f t="shared" si="2"/>
        <v>7790.166667</v>
      </c>
      <c r="F1446" s="4">
        <f t="shared" si="3"/>
        <v>2596.722222</v>
      </c>
      <c r="G1446" s="4">
        <f t="shared" si="4"/>
        <v>7790</v>
      </c>
      <c r="H1446" s="4" t="str">
        <f t="shared" si="5"/>
        <v>Uu tien cao</v>
      </c>
    </row>
    <row r="1447" ht="14.25" customHeight="1">
      <c r="A1447" s="4" t="s">
        <v>1464</v>
      </c>
      <c r="B1447" s="4">
        <v>2196.0</v>
      </c>
      <c r="C1447" s="4" t="s">
        <v>886</v>
      </c>
      <c r="D1447" s="4" t="str">
        <f t="shared" si="1"/>
        <v>MA3</v>
      </c>
      <c r="E1447" s="4">
        <f t="shared" si="2"/>
        <v>183</v>
      </c>
      <c r="F1447" s="4">
        <f t="shared" si="3"/>
        <v>61</v>
      </c>
      <c r="G1447" s="4">
        <f t="shared" si="4"/>
        <v>183</v>
      </c>
      <c r="H1447" s="4" t="str">
        <f t="shared" si="5"/>
        <v>Binh thuong</v>
      </c>
    </row>
    <row r="1448" ht="14.25" customHeight="1">
      <c r="A1448" s="4" t="s">
        <v>1465</v>
      </c>
      <c r="B1448" s="4">
        <v>176.0</v>
      </c>
      <c r="C1448" s="4" t="s">
        <v>886</v>
      </c>
      <c r="D1448" s="4" t="str">
        <f t="shared" si="1"/>
        <v>MA3</v>
      </c>
      <c r="E1448" s="4">
        <f t="shared" si="2"/>
        <v>14.66666667</v>
      </c>
      <c r="F1448" s="4">
        <f t="shared" si="3"/>
        <v>4.888888889</v>
      </c>
      <c r="G1448" s="4">
        <f t="shared" si="4"/>
        <v>15</v>
      </c>
      <c r="H1448" s="4" t="str">
        <f t="shared" si="5"/>
        <v>Binh thuong</v>
      </c>
    </row>
    <row r="1449" ht="14.25" customHeight="1">
      <c r="A1449" s="4" t="s">
        <v>1466</v>
      </c>
      <c r="B1449" s="4">
        <v>3425.0</v>
      </c>
      <c r="C1449" s="4" t="s">
        <v>886</v>
      </c>
      <c r="D1449" s="4" t="str">
        <f t="shared" si="1"/>
        <v>MA3</v>
      </c>
      <c r="E1449" s="4">
        <f t="shared" si="2"/>
        <v>285.4166667</v>
      </c>
      <c r="F1449" s="4">
        <f t="shared" si="3"/>
        <v>95.13888889</v>
      </c>
      <c r="G1449" s="4">
        <f t="shared" si="4"/>
        <v>285</v>
      </c>
      <c r="H1449" s="4" t="str">
        <f t="shared" si="5"/>
        <v>Binh thuong</v>
      </c>
    </row>
    <row r="1450" ht="14.25" customHeight="1">
      <c r="A1450" s="4" t="s">
        <v>1467</v>
      </c>
      <c r="B1450" s="4">
        <v>177.0</v>
      </c>
      <c r="C1450" s="4" t="s">
        <v>886</v>
      </c>
      <c r="D1450" s="4" t="str">
        <f t="shared" si="1"/>
        <v>MA3</v>
      </c>
      <c r="E1450" s="4">
        <f t="shared" si="2"/>
        <v>14.75</v>
      </c>
      <c r="F1450" s="4">
        <f t="shared" si="3"/>
        <v>4.916666667</v>
      </c>
      <c r="G1450" s="4">
        <f t="shared" si="4"/>
        <v>15</v>
      </c>
      <c r="H1450" s="4" t="str">
        <f t="shared" si="5"/>
        <v>Binh thuong</v>
      </c>
    </row>
    <row r="1451" ht="14.25" customHeight="1">
      <c r="A1451" s="4" t="s">
        <v>1468</v>
      </c>
      <c r="B1451" s="4">
        <v>2443847.0</v>
      </c>
      <c r="C1451" s="4" t="s">
        <v>886</v>
      </c>
      <c r="D1451" s="4" t="str">
        <f t="shared" si="1"/>
        <v>MA3</v>
      </c>
      <c r="E1451" s="4">
        <f t="shared" si="2"/>
        <v>203653.9167</v>
      </c>
      <c r="F1451" s="4">
        <f t="shared" si="3"/>
        <v>67884.63889</v>
      </c>
      <c r="G1451" s="4">
        <f t="shared" si="4"/>
        <v>203654</v>
      </c>
      <c r="H1451" s="4" t="str">
        <f t="shared" si="5"/>
        <v>Uu tien cao</v>
      </c>
    </row>
    <row r="1452" ht="14.25" customHeight="1">
      <c r="A1452" s="4" t="s">
        <v>1469</v>
      </c>
      <c r="B1452" s="4">
        <v>2983854.0</v>
      </c>
      <c r="C1452" s="4" t="s">
        <v>886</v>
      </c>
      <c r="D1452" s="4" t="str">
        <f t="shared" si="1"/>
        <v>MA3</v>
      </c>
      <c r="E1452" s="4">
        <f t="shared" si="2"/>
        <v>248654.5</v>
      </c>
      <c r="F1452" s="4">
        <f t="shared" si="3"/>
        <v>82884.83333</v>
      </c>
      <c r="G1452" s="4">
        <f t="shared" si="4"/>
        <v>248655</v>
      </c>
      <c r="H1452" s="4" t="str">
        <f t="shared" si="5"/>
        <v>Uu tien cao</v>
      </c>
    </row>
    <row r="1453" ht="14.25" customHeight="1">
      <c r="A1453" s="4" t="s">
        <v>1470</v>
      </c>
      <c r="B1453" s="4">
        <v>609775.0</v>
      </c>
      <c r="C1453" s="4" t="s">
        <v>886</v>
      </c>
      <c r="D1453" s="4" t="str">
        <f t="shared" si="1"/>
        <v>MA3</v>
      </c>
      <c r="E1453" s="4">
        <f t="shared" si="2"/>
        <v>50814.58333</v>
      </c>
      <c r="F1453" s="4">
        <f t="shared" si="3"/>
        <v>16938.19444</v>
      </c>
      <c r="G1453" s="4">
        <f t="shared" si="4"/>
        <v>50815</v>
      </c>
      <c r="H1453" s="4" t="str">
        <f t="shared" si="5"/>
        <v>Uu tien cao</v>
      </c>
    </row>
    <row r="1454" ht="14.25" customHeight="1">
      <c r="A1454" s="4" t="s">
        <v>1471</v>
      </c>
      <c r="B1454" s="4">
        <v>2615425.0</v>
      </c>
      <c r="C1454" s="4" t="s">
        <v>886</v>
      </c>
      <c r="D1454" s="4" t="str">
        <f t="shared" si="1"/>
        <v>MA3</v>
      </c>
      <c r="E1454" s="4">
        <f t="shared" si="2"/>
        <v>217952.0833</v>
      </c>
      <c r="F1454" s="4">
        <f t="shared" si="3"/>
        <v>72650.69444</v>
      </c>
      <c r="G1454" s="4">
        <f t="shared" si="4"/>
        <v>217952</v>
      </c>
      <c r="H1454" s="4" t="str">
        <f t="shared" si="5"/>
        <v>Uu tien cao</v>
      </c>
    </row>
    <row r="1455" ht="14.25" customHeight="1">
      <c r="A1455" s="4" t="s">
        <v>1472</v>
      </c>
      <c r="B1455" s="4">
        <v>205275.0</v>
      </c>
      <c r="C1455" s="4" t="s">
        <v>886</v>
      </c>
      <c r="D1455" s="4" t="str">
        <f t="shared" si="1"/>
        <v>MA3</v>
      </c>
      <c r="E1455" s="4">
        <f t="shared" si="2"/>
        <v>17106.25</v>
      </c>
      <c r="F1455" s="4">
        <f t="shared" si="3"/>
        <v>5702.083333</v>
      </c>
      <c r="G1455" s="4">
        <f t="shared" si="4"/>
        <v>17106</v>
      </c>
      <c r="H1455" s="4" t="str">
        <f t="shared" si="5"/>
        <v>Uu tien cao</v>
      </c>
    </row>
    <row r="1456" ht="14.25" customHeight="1">
      <c r="A1456" s="4" t="s">
        <v>1473</v>
      </c>
      <c r="B1456" s="4">
        <v>114071.0</v>
      </c>
      <c r="C1456" s="4" t="s">
        <v>886</v>
      </c>
      <c r="D1456" s="4" t="str">
        <f t="shared" si="1"/>
        <v>MA3</v>
      </c>
      <c r="E1456" s="4">
        <f t="shared" si="2"/>
        <v>9505.916667</v>
      </c>
      <c r="F1456" s="4">
        <f t="shared" si="3"/>
        <v>3168.638889</v>
      </c>
      <c r="G1456" s="4">
        <f t="shared" si="4"/>
        <v>9506</v>
      </c>
      <c r="H1456" s="4" t="str">
        <f t="shared" si="5"/>
        <v>Uu tien cao</v>
      </c>
    </row>
    <row r="1457" ht="14.25" customHeight="1">
      <c r="A1457" s="4" t="s">
        <v>1474</v>
      </c>
      <c r="B1457" s="4">
        <v>57508.0</v>
      </c>
      <c r="C1457" s="4" t="s">
        <v>886</v>
      </c>
      <c r="D1457" s="4" t="str">
        <f t="shared" si="1"/>
        <v>MA3</v>
      </c>
      <c r="E1457" s="4">
        <f t="shared" si="2"/>
        <v>4792.333333</v>
      </c>
      <c r="F1457" s="4">
        <f t="shared" si="3"/>
        <v>1597.444444</v>
      </c>
      <c r="G1457" s="4">
        <f t="shared" si="4"/>
        <v>4792</v>
      </c>
      <c r="H1457" s="4" t="str">
        <f t="shared" si="5"/>
        <v>Uu tien cao</v>
      </c>
    </row>
    <row r="1458" ht="14.25" customHeight="1">
      <c r="A1458" s="4" t="s">
        <v>1475</v>
      </c>
      <c r="B1458" s="4">
        <v>55606.0</v>
      </c>
      <c r="C1458" s="4" t="s">
        <v>886</v>
      </c>
      <c r="D1458" s="4" t="str">
        <f t="shared" si="1"/>
        <v>MA3</v>
      </c>
      <c r="E1458" s="4">
        <f t="shared" si="2"/>
        <v>4633.833333</v>
      </c>
      <c r="F1458" s="4">
        <f t="shared" si="3"/>
        <v>1544.611111</v>
      </c>
      <c r="G1458" s="4">
        <f t="shared" si="4"/>
        <v>4634</v>
      </c>
      <c r="H1458" s="4" t="str">
        <f t="shared" si="5"/>
        <v>Uu tien cao</v>
      </c>
    </row>
    <row r="1459" ht="14.25" customHeight="1">
      <c r="A1459" s="4" t="s">
        <v>1476</v>
      </c>
      <c r="B1459" s="4">
        <v>50095.0</v>
      </c>
      <c r="C1459" s="4" t="s">
        <v>886</v>
      </c>
      <c r="D1459" s="4" t="str">
        <f t="shared" si="1"/>
        <v>MA3</v>
      </c>
      <c r="E1459" s="4">
        <f t="shared" si="2"/>
        <v>4174.583333</v>
      </c>
      <c r="F1459" s="4">
        <f t="shared" si="3"/>
        <v>1391.527778</v>
      </c>
      <c r="G1459" s="4">
        <f t="shared" si="4"/>
        <v>4175</v>
      </c>
      <c r="H1459" s="4" t="str">
        <f t="shared" si="5"/>
        <v>Uu tien cao</v>
      </c>
    </row>
    <row r="1460" ht="14.25" customHeight="1">
      <c r="A1460" s="4" t="s">
        <v>1477</v>
      </c>
      <c r="B1460" s="4">
        <v>48592.0</v>
      </c>
      <c r="C1460" s="4" t="s">
        <v>886</v>
      </c>
      <c r="D1460" s="4" t="str">
        <f t="shared" si="1"/>
        <v>MA3</v>
      </c>
      <c r="E1460" s="4">
        <f t="shared" si="2"/>
        <v>4049.333333</v>
      </c>
      <c r="F1460" s="4">
        <f t="shared" si="3"/>
        <v>1349.777778</v>
      </c>
      <c r="G1460" s="4">
        <f t="shared" si="4"/>
        <v>4049</v>
      </c>
      <c r="H1460" s="4" t="str">
        <f t="shared" si="5"/>
        <v>Uu tien cao</v>
      </c>
    </row>
    <row r="1461" ht="14.25" customHeight="1">
      <c r="A1461" s="4" t="s">
        <v>1478</v>
      </c>
      <c r="B1461" s="4">
        <v>83822.0</v>
      </c>
      <c r="C1461" s="4" t="s">
        <v>886</v>
      </c>
      <c r="D1461" s="4" t="str">
        <f t="shared" si="1"/>
        <v>MA3</v>
      </c>
      <c r="E1461" s="4">
        <f t="shared" si="2"/>
        <v>6985.166667</v>
      </c>
      <c r="F1461" s="4">
        <f t="shared" si="3"/>
        <v>2328.388889</v>
      </c>
      <c r="G1461" s="4">
        <f t="shared" si="4"/>
        <v>6985</v>
      </c>
      <c r="H1461" s="4" t="str">
        <f t="shared" si="5"/>
        <v>Uu tien cao</v>
      </c>
    </row>
    <row r="1462" ht="14.25" customHeight="1">
      <c r="A1462" s="4" t="s">
        <v>1479</v>
      </c>
      <c r="B1462" s="4">
        <v>102783.0</v>
      </c>
      <c r="C1462" s="4" t="s">
        <v>886</v>
      </c>
      <c r="D1462" s="4" t="str">
        <f t="shared" si="1"/>
        <v>MA3</v>
      </c>
      <c r="E1462" s="4">
        <f t="shared" si="2"/>
        <v>8565.25</v>
      </c>
      <c r="F1462" s="4">
        <f t="shared" si="3"/>
        <v>2855.083333</v>
      </c>
      <c r="G1462" s="4">
        <f t="shared" si="4"/>
        <v>8565</v>
      </c>
      <c r="H1462" s="4" t="str">
        <f t="shared" si="5"/>
        <v>Uu tien cao</v>
      </c>
    </row>
    <row r="1463" ht="14.25" customHeight="1">
      <c r="A1463" s="4" t="s">
        <v>1480</v>
      </c>
      <c r="B1463" s="4">
        <v>54926.0</v>
      </c>
      <c r="C1463" s="4" t="s">
        <v>886</v>
      </c>
      <c r="D1463" s="4" t="str">
        <f t="shared" si="1"/>
        <v>MA3</v>
      </c>
      <c r="E1463" s="4">
        <f t="shared" si="2"/>
        <v>4577.166667</v>
      </c>
      <c r="F1463" s="4">
        <f t="shared" si="3"/>
        <v>1525.722222</v>
      </c>
      <c r="G1463" s="4">
        <f t="shared" si="4"/>
        <v>4577</v>
      </c>
      <c r="H1463" s="4" t="str">
        <f t="shared" si="5"/>
        <v>Uu tien cao</v>
      </c>
    </row>
    <row r="1464" ht="14.25" customHeight="1">
      <c r="A1464" s="4" t="s">
        <v>1481</v>
      </c>
      <c r="B1464" s="4">
        <v>75789.0</v>
      </c>
      <c r="C1464" s="4" t="s">
        <v>886</v>
      </c>
      <c r="D1464" s="4" t="str">
        <f t="shared" si="1"/>
        <v>MA3</v>
      </c>
      <c r="E1464" s="4">
        <f t="shared" si="2"/>
        <v>6315.75</v>
      </c>
      <c r="F1464" s="4">
        <f t="shared" si="3"/>
        <v>2105.25</v>
      </c>
      <c r="G1464" s="4">
        <f t="shared" si="4"/>
        <v>6316</v>
      </c>
      <c r="H1464" s="4" t="str">
        <f t="shared" si="5"/>
        <v>Uu tien cao</v>
      </c>
    </row>
    <row r="1465" ht="14.25" customHeight="1">
      <c r="A1465" s="4" t="s">
        <v>1482</v>
      </c>
      <c r="B1465" s="4">
        <v>57127.0</v>
      </c>
      <c r="C1465" s="4" t="s">
        <v>886</v>
      </c>
      <c r="D1465" s="4" t="str">
        <f t="shared" si="1"/>
        <v>MA3</v>
      </c>
      <c r="E1465" s="4">
        <f t="shared" si="2"/>
        <v>4760.583333</v>
      </c>
      <c r="F1465" s="4">
        <f t="shared" si="3"/>
        <v>1586.861111</v>
      </c>
      <c r="G1465" s="4">
        <f t="shared" si="4"/>
        <v>4761</v>
      </c>
      <c r="H1465" s="4" t="str">
        <f t="shared" si="5"/>
        <v>Uu tien cao</v>
      </c>
    </row>
    <row r="1466" ht="14.25" customHeight="1">
      <c r="A1466" s="4" t="s">
        <v>1483</v>
      </c>
      <c r="B1466" s="4">
        <v>50617.0</v>
      </c>
      <c r="C1466" s="4" t="s">
        <v>886</v>
      </c>
      <c r="D1466" s="4" t="str">
        <f t="shared" si="1"/>
        <v>MA3</v>
      </c>
      <c r="E1466" s="4">
        <f t="shared" si="2"/>
        <v>4218.083333</v>
      </c>
      <c r="F1466" s="4">
        <f t="shared" si="3"/>
        <v>1406.027778</v>
      </c>
      <c r="G1466" s="4">
        <f t="shared" si="4"/>
        <v>4218</v>
      </c>
      <c r="H1466" s="4" t="str">
        <f t="shared" si="5"/>
        <v>Uu tien cao</v>
      </c>
    </row>
    <row r="1467" ht="14.25" customHeight="1">
      <c r="A1467" s="4" t="s">
        <v>1484</v>
      </c>
      <c r="B1467" s="4">
        <v>47040.0</v>
      </c>
      <c r="C1467" s="4" t="s">
        <v>886</v>
      </c>
      <c r="D1467" s="4" t="str">
        <f t="shared" si="1"/>
        <v>MA3</v>
      </c>
      <c r="E1467" s="4">
        <f t="shared" si="2"/>
        <v>3920</v>
      </c>
      <c r="F1467" s="4">
        <f t="shared" si="3"/>
        <v>1306.666667</v>
      </c>
      <c r="G1467" s="4">
        <f t="shared" si="4"/>
        <v>3920</v>
      </c>
      <c r="H1467" s="4" t="str">
        <f t="shared" si="5"/>
        <v>Uu tien cao</v>
      </c>
    </row>
    <row r="1468" ht="14.25" customHeight="1">
      <c r="A1468" s="4" t="s">
        <v>1485</v>
      </c>
      <c r="B1468" s="4">
        <v>57374.0</v>
      </c>
      <c r="C1468" s="4" t="s">
        <v>886</v>
      </c>
      <c r="D1468" s="4" t="str">
        <f t="shared" si="1"/>
        <v>MA3</v>
      </c>
      <c r="E1468" s="4">
        <f t="shared" si="2"/>
        <v>4781.166667</v>
      </c>
      <c r="F1468" s="4">
        <f t="shared" si="3"/>
        <v>1593.722222</v>
      </c>
      <c r="G1468" s="4">
        <f t="shared" si="4"/>
        <v>4781</v>
      </c>
      <c r="H1468" s="4" t="str">
        <f t="shared" si="5"/>
        <v>Uu tien cao</v>
      </c>
    </row>
    <row r="1469" ht="14.25" customHeight="1">
      <c r="A1469" s="4" t="s">
        <v>1486</v>
      </c>
      <c r="B1469" s="4">
        <v>42196.0</v>
      </c>
      <c r="C1469" s="4" t="s">
        <v>886</v>
      </c>
      <c r="D1469" s="4" t="str">
        <f t="shared" si="1"/>
        <v>MA3</v>
      </c>
      <c r="E1469" s="4">
        <f t="shared" si="2"/>
        <v>3516.333333</v>
      </c>
      <c r="F1469" s="4">
        <f t="shared" si="3"/>
        <v>1172.111111</v>
      </c>
      <c r="G1469" s="4">
        <f t="shared" si="4"/>
        <v>3516</v>
      </c>
      <c r="H1469" s="4" t="str">
        <f t="shared" si="5"/>
        <v>Uu tien cao</v>
      </c>
    </row>
    <row r="1470" ht="14.25" customHeight="1">
      <c r="A1470" s="4" t="s">
        <v>1487</v>
      </c>
      <c r="B1470" s="4">
        <v>64600.0</v>
      </c>
      <c r="C1470" s="4" t="s">
        <v>886</v>
      </c>
      <c r="D1470" s="4" t="str">
        <f t="shared" si="1"/>
        <v>MA3</v>
      </c>
      <c r="E1470" s="4">
        <f t="shared" si="2"/>
        <v>5383.333333</v>
      </c>
      <c r="F1470" s="4">
        <f t="shared" si="3"/>
        <v>1794.444444</v>
      </c>
      <c r="G1470" s="4">
        <f t="shared" si="4"/>
        <v>5383</v>
      </c>
      <c r="H1470" s="4" t="str">
        <f t="shared" si="5"/>
        <v>Uu tien cao</v>
      </c>
    </row>
    <row r="1471" ht="14.25" customHeight="1">
      <c r="A1471" s="4" t="s">
        <v>1488</v>
      </c>
      <c r="B1471" s="4">
        <v>44112.0</v>
      </c>
      <c r="C1471" s="4" t="s">
        <v>886</v>
      </c>
      <c r="D1471" s="4" t="str">
        <f t="shared" si="1"/>
        <v>MA3</v>
      </c>
      <c r="E1471" s="4">
        <f t="shared" si="2"/>
        <v>3676</v>
      </c>
      <c r="F1471" s="4">
        <f t="shared" si="3"/>
        <v>1225.333333</v>
      </c>
      <c r="G1471" s="4">
        <f t="shared" si="4"/>
        <v>3676</v>
      </c>
      <c r="H1471" s="4" t="str">
        <f t="shared" si="5"/>
        <v>Uu tien cao</v>
      </c>
    </row>
    <row r="1472" ht="14.25" customHeight="1">
      <c r="A1472" s="4" t="s">
        <v>1489</v>
      </c>
      <c r="B1472" s="4">
        <v>58045.0</v>
      </c>
      <c r="C1472" s="4" t="s">
        <v>886</v>
      </c>
      <c r="D1472" s="4" t="str">
        <f t="shared" si="1"/>
        <v>MA3</v>
      </c>
      <c r="E1472" s="4">
        <f t="shared" si="2"/>
        <v>4837.083333</v>
      </c>
      <c r="F1472" s="4">
        <f t="shared" si="3"/>
        <v>1612.361111</v>
      </c>
      <c r="G1472" s="4">
        <f t="shared" si="4"/>
        <v>4837</v>
      </c>
      <c r="H1472" s="4" t="str">
        <f t="shared" si="5"/>
        <v>Uu tien cao</v>
      </c>
    </row>
    <row r="1473" ht="14.25" customHeight="1">
      <c r="A1473" s="4" t="s">
        <v>1490</v>
      </c>
      <c r="B1473" s="4">
        <v>49563.0</v>
      </c>
      <c r="C1473" s="4" t="s">
        <v>886</v>
      </c>
      <c r="D1473" s="4" t="str">
        <f t="shared" si="1"/>
        <v>MA3</v>
      </c>
      <c r="E1473" s="4">
        <f t="shared" si="2"/>
        <v>4130.25</v>
      </c>
      <c r="F1473" s="4">
        <f t="shared" si="3"/>
        <v>1376.75</v>
      </c>
      <c r="G1473" s="4">
        <f t="shared" si="4"/>
        <v>4130</v>
      </c>
      <c r="H1473" s="4" t="str">
        <f t="shared" si="5"/>
        <v>Uu tien cao</v>
      </c>
    </row>
    <row r="1474" ht="14.25" customHeight="1">
      <c r="A1474" s="4" t="s">
        <v>1491</v>
      </c>
      <c r="B1474" s="4">
        <v>58078.0</v>
      </c>
      <c r="C1474" s="4" t="s">
        <v>886</v>
      </c>
      <c r="D1474" s="4" t="str">
        <f t="shared" si="1"/>
        <v>MA3</v>
      </c>
      <c r="E1474" s="4">
        <f t="shared" si="2"/>
        <v>4839.833333</v>
      </c>
      <c r="F1474" s="4">
        <f t="shared" si="3"/>
        <v>1613.277778</v>
      </c>
      <c r="G1474" s="4">
        <f t="shared" si="4"/>
        <v>4840</v>
      </c>
      <c r="H1474" s="4" t="str">
        <f t="shared" si="5"/>
        <v>Uu tien cao</v>
      </c>
    </row>
    <row r="1475" ht="14.25" customHeight="1">
      <c r="A1475" s="4" t="s">
        <v>1492</v>
      </c>
      <c r="B1475" s="4">
        <v>7844.0</v>
      </c>
      <c r="C1475" s="4" t="s">
        <v>886</v>
      </c>
      <c r="D1475" s="4" t="str">
        <f t="shared" si="1"/>
        <v>MA3</v>
      </c>
      <c r="E1475" s="4">
        <f t="shared" si="2"/>
        <v>653.6666667</v>
      </c>
      <c r="F1475" s="4">
        <f t="shared" si="3"/>
        <v>217.8888889</v>
      </c>
      <c r="G1475" s="4">
        <f t="shared" si="4"/>
        <v>654</v>
      </c>
      <c r="H1475" s="4" t="str">
        <f t="shared" si="5"/>
        <v>Binh thuong</v>
      </c>
    </row>
    <row r="1476" ht="14.25" customHeight="1">
      <c r="A1476" s="4" t="s">
        <v>1493</v>
      </c>
      <c r="B1476" s="4">
        <v>62929.0</v>
      </c>
      <c r="C1476" s="4" t="s">
        <v>886</v>
      </c>
      <c r="D1476" s="4" t="str">
        <f t="shared" si="1"/>
        <v>MA3</v>
      </c>
      <c r="E1476" s="4">
        <f t="shared" si="2"/>
        <v>5244.083333</v>
      </c>
      <c r="F1476" s="4">
        <f t="shared" si="3"/>
        <v>1748.027778</v>
      </c>
      <c r="G1476" s="4">
        <f t="shared" si="4"/>
        <v>5244</v>
      </c>
      <c r="H1476" s="4" t="str">
        <f t="shared" si="5"/>
        <v>Uu tien cao</v>
      </c>
    </row>
    <row r="1477" ht="14.25" customHeight="1">
      <c r="A1477" s="4" t="s">
        <v>1494</v>
      </c>
      <c r="B1477" s="4">
        <v>254469.0</v>
      </c>
      <c r="C1477" s="4" t="s">
        <v>886</v>
      </c>
      <c r="D1477" s="4" t="str">
        <f t="shared" si="1"/>
        <v>MA3</v>
      </c>
      <c r="E1477" s="4">
        <f t="shared" si="2"/>
        <v>21205.75</v>
      </c>
      <c r="F1477" s="4">
        <f t="shared" si="3"/>
        <v>7068.583333</v>
      </c>
      <c r="G1477" s="4">
        <f t="shared" si="4"/>
        <v>21206</v>
      </c>
      <c r="H1477" s="4" t="str">
        <f t="shared" si="5"/>
        <v>Uu tien cao</v>
      </c>
    </row>
    <row r="1478" ht="14.25" customHeight="1">
      <c r="A1478" s="4" t="s">
        <v>1495</v>
      </c>
      <c r="B1478" s="4">
        <v>8570.0</v>
      </c>
      <c r="C1478" s="4" t="s">
        <v>886</v>
      </c>
      <c r="D1478" s="4" t="str">
        <f t="shared" si="1"/>
        <v>MA3</v>
      </c>
      <c r="E1478" s="4">
        <f t="shared" si="2"/>
        <v>714.1666667</v>
      </c>
      <c r="F1478" s="4">
        <f t="shared" si="3"/>
        <v>238.0555556</v>
      </c>
      <c r="G1478" s="4">
        <f t="shared" si="4"/>
        <v>714</v>
      </c>
      <c r="H1478" s="4" t="str">
        <f t="shared" si="5"/>
        <v>Binh thuong</v>
      </c>
    </row>
    <row r="1479" ht="14.25" customHeight="1">
      <c r="A1479" s="4" t="s">
        <v>1496</v>
      </c>
      <c r="B1479" s="4">
        <v>43226.0</v>
      </c>
      <c r="C1479" s="4" t="s">
        <v>886</v>
      </c>
      <c r="D1479" s="4" t="str">
        <f t="shared" si="1"/>
        <v>MA3</v>
      </c>
      <c r="E1479" s="4">
        <f t="shared" si="2"/>
        <v>3602.166667</v>
      </c>
      <c r="F1479" s="4">
        <f t="shared" si="3"/>
        <v>1200.722222</v>
      </c>
      <c r="G1479" s="4">
        <f t="shared" si="4"/>
        <v>3602</v>
      </c>
      <c r="H1479" s="4" t="str">
        <f t="shared" si="5"/>
        <v>Uu tien cao</v>
      </c>
    </row>
    <row r="1480" ht="14.25" customHeight="1">
      <c r="A1480" s="4" t="s">
        <v>1497</v>
      </c>
      <c r="B1480" s="4">
        <v>185002.0</v>
      </c>
      <c r="C1480" s="4" t="s">
        <v>886</v>
      </c>
      <c r="D1480" s="4" t="str">
        <f t="shared" si="1"/>
        <v>MA3</v>
      </c>
      <c r="E1480" s="4">
        <f t="shared" si="2"/>
        <v>15416.83333</v>
      </c>
      <c r="F1480" s="4">
        <f t="shared" si="3"/>
        <v>5138.944444</v>
      </c>
      <c r="G1480" s="4">
        <f t="shared" si="4"/>
        <v>15417</v>
      </c>
      <c r="H1480" s="4" t="str">
        <f t="shared" si="5"/>
        <v>Uu tien cao</v>
      </c>
    </row>
    <row r="1481" ht="14.25" customHeight="1">
      <c r="A1481" s="4" t="s">
        <v>1498</v>
      </c>
      <c r="B1481" s="4">
        <v>7318.0</v>
      </c>
      <c r="C1481" s="4" t="s">
        <v>886</v>
      </c>
      <c r="D1481" s="4" t="str">
        <f t="shared" si="1"/>
        <v>MA3</v>
      </c>
      <c r="E1481" s="4">
        <f t="shared" si="2"/>
        <v>609.8333333</v>
      </c>
      <c r="F1481" s="4">
        <f t="shared" si="3"/>
        <v>203.2777778</v>
      </c>
      <c r="G1481" s="4">
        <f t="shared" si="4"/>
        <v>610</v>
      </c>
      <c r="H1481" s="4" t="str">
        <f t="shared" si="5"/>
        <v>Binh thuong</v>
      </c>
    </row>
    <row r="1482" ht="14.25" customHeight="1">
      <c r="A1482" s="4" t="s">
        <v>1499</v>
      </c>
      <c r="B1482" s="4">
        <v>32697.0</v>
      </c>
      <c r="C1482" s="4" t="s">
        <v>886</v>
      </c>
      <c r="D1482" s="4" t="str">
        <f t="shared" si="1"/>
        <v>MA3</v>
      </c>
      <c r="E1482" s="4">
        <f t="shared" si="2"/>
        <v>2724.75</v>
      </c>
      <c r="F1482" s="4">
        <f t="shared" si="3"/>
        <v>908.25</v>
      </c>
      <c r="G1482" s="4">
        <f t="shared" si="4"/>
        <v>2725</v>
      </c>
      <c r="H1482" s="4" t="str">
        <f t="shared" si="5"/>
        <v>Binh thuong</v>
      </c>
    </row>
    <row r="1483" ht="14.25" customHeight="1">
      <c r="A1483" s="4" t="s">
        <v>1500</v>
      </c>
      <c r="B1483" s="4">
        <v>73440.0</v>
      </c>
      <c r="C1483" s="4" t="s">
        <v>886</v>
      </c>
      <c r="D1483" s="4" t="str">
        <f t="shared" si="1"/>
        <v>MA3</v>
      </c>
      <c r="E1483" s="4">
        <f t="shared" si="2"/>
        <v>6120</v>
      </c>
      <c r="F1483" s="4">
        <f t="shared" si="3"/>
        <v>2040</v>
      </c>
      <c r="G1483" s="4">
        <f t="shared" si="4"/>
        <v>6120</v>
      </c>
      <c r="H1483" s="4" t="str">
        <f t="shared" si="5"/>
        <v>Uu tien cao</v>
      </c>
    </row>
    <row r="1484" ht="14.25" customHeight="1">
      <c r="A1484" s="4" t="s">
        <v>1501</v>
      </c>
      <c r="B1484" s="4">
        <v>9108.0</v>
      </c>
      <c r="C1484" s="4" t="s">
        <v>886</v>
      </c>
      <c r="D1484" s="4" t="str">
        <f t="shared" si="1"/>
        <v>MA3</v>
      </c>
      <c r="E1484" s="4">
        <f t="shared" si="2"/>
        <v>759</v>
      </c>
      <c r="F1484" s="4">
        <f t="shared" si="3"/>
        <v>253</v>
      </c>
      <c r="G1484" s="4">
        <f t="shared" si="4"/>
        <v>759</v>
      </c>
      <c r="H1484" s="4" t="str">
        <f t="shared" si="5"/>
        <v>Binh thuong</v>
      </c>
    </row>
    <row r="1485" ht="14.25" customHeight="1">
      <c r="A1485" s="4" t="s">
        <v>1502</v>
      </c>
      <c r="B1485" s="4">
        <v>58176.0</v>
      </c>
      <c r="C1485" s="4" t="s">
        <v>886</v>
      </c>
      <c r="D1485" s="4" t="str">
        <f t="shared" si="1"/>
        <v>MA3</v>
      </c>
      <c r="E1485" s="4">
        <f t="shared" si="2"/>
        <v>4848</v>
      </c>
      <c r="F1485" s="4">
        <f t="shared" si="3"/>
        <v>1616</v>
      </c>
      <c r="G1485" s="4">
        <f t="shared" si="4"/>
        <v>4848</v>
      </c>
      <c r="H1485" s="4" t="str">
        <f t="shared" si="5"/>
        <v>Uu tien cao</v>
      </c>
    </row>
    <row r="1486" ht="14.25" customHeight="1">
      <c r="A1486" s="4" t="s">
        <v>1503</v>
      </c>
      <c r="B1486" s="4">
        <v>351173.0</v>
      </c>
      <c r="C1486" s="4" t="s">
        <v>886</v>
      </c>
      <c r="D1486" s="4" t="str">
        <f t="shared" si="1"/>
        <v>MA3</v>
      </c>
      <c r="E1486" s="4">
        <f t="shared" si="2"/>
        <v>29264.41667</v>
      </c>
      <c r="F1486" s="4">
        <f t="shared" si="3"/>
        <v>9754.805556</v>
      </c>
      <c r="G1486" s="4">
        <f t="shared" si="4"/>
        <v>29264</v>
      </c>
      <c r="H1486" s="4" t="str">
        <f t="shared" si="5"/>
        <v>Uu tien cao</v>
      </c>
    </row>
    <row r="1487" ht="14.25" customHeight="1">
      <c r="A1487" s="4" t="s">
        <v>1504</v>
      </c>
      <c r="B1487" s="4">
        <v>13743.0</v>
      </c>
      <c r="C1487" s="4" t="s">
        <v>886</v>
      </c>
      <c r="D1487" s="4" t="str">
        <f t="shared" si="1"/>
        <v>MA3</v>
      </c>
      <c r="E1487" s="4">
        <f t="shared" si="2"/>
        <v>1145.25</v>
      </c>
      <c r="F1487" s="4">
        <f t="shared" si="3"/>
        <v>381.75</v>
      </c>
      <c r="G1487" s="4">
        <f t="shared" si="4"/>
        <v>1145</v>
      </c>
      <c r="H1487" s="4" t="str">
        <f t="shared" si="5"/>
        <v>Binh thuong</v>
      </c>
    </row>
    <row r="1488" ht="14.25" customHeight="1">
      <c r="A1488" s="4" t="s">
        <v>1505</v>
      </c>
      <c r="B1488" s="4">
        <v>64151.0</v>
      </c>
      <c r="C1488" s="4" t="s">
        <v>886</v>
      </c>
      <c r="D1488" s="4" t="str">
        <f t="shared" si="1"/>
        <v>MA3</v>
      </c>
      <c r="E1488" s="4">
        <f t="shared" si="2"/>
        <v>5345.916667</v>
      </c>
      <c r="F1488" s="4">
        <f t="shared" si="3"/>
        <v>1781.972222</v>
      </c>
      <c r="G1488" s="4">
        <f t="shared" si="4"/>
        <v>5346</v>
      </c>
      <c r="H1488" s="4" t="str">
        <f t="shared" si="5"/>
        <v>Uu tien cao</v>
      </c>
    </row>
    <row r="1489" ht="14.25" customHeight="1">
      <c r="A1489" s="4" t="s">
        <v>1506</v>
      </c>
      <c r="B1489" s="4">
        <v>396057.0</v>
      </c>
      <c r="C1489" s="4" t="s">
        <v>886</v>
      </c>
      <c r="D1489" s="4" t="str">
        <f t="shared" si="1"/>
        <v>MA3</v>
      </c>
      <c r="E1489" s="4">
        <f t="shared" si="2"/>
        <v>33004.75</v>
      </c>
      <c r="F1489" s="4">
        <f t="shared" si="3"/>
        <v>11001.58333</v>
      </c>
      <c r="G1489" s="4">
        <f t="shared" si="4"/>
        <v>33005</v>
      </c>
      <c r="H1489" s="4" t="str">
        <f t="shared" si="5"/>
        <v>Uu tien cao</v>
      </c>
    </row>
    <row r="1490" ht="14.25" customHeight="1">
      <c r="A1490" s="4" t="s">
        <v>1507</v>
      </c>
      <c r="B1490" s="4">
        <v>11182.0</v>
      </c>
      <c r="C1490" s="4" t="s">
        <v>886</v>
      </c>
      <c r="D1490" s="4" t="str">
        <f t="shared" si="1"/>
        <v>MA3</v>
      </c>
      <c r="E1490" s="4">
        <f t="shared" si="2"/>
        <v>931.8333333</v>
      </c>
      <c r="F1490" s="4">
        <f t="shared" si="3"/>
        <v>310.6111111</v>
      </c>
      <c r="G1490" s="4">
        <f t="shared" si="4"/>
        <v>932</v>
      </c>
      <c r="H1490" s="4" t="str">
        <f t="shared" si="5"/>
        <v>Binh thuong</v>
      </c>
    </row>
    <row r="1491" ht="14.25" customHeight="1">
      <c r="A1491" s="4" t="s">
        <v>1508</v>
      </c>
      <c r="B1491" s="4">
        <v>56799.0</v>
      </c>
      <c r="C1491" s="4" t="s">
        <v>886</v>
      </c>
      <c r="D1491" s="4" t="str">
        <f t="shared" si="1"/>
        <v>MA3</v>
      </c>
      <c r="E1491" s="4">
        <f t="shared" si="2"/>
        <v>4733.25</v>
      </c>
      <c r="F1491" s="4">
        <f t="shared" si="3"/>
        <v>1577.75</v>
      </c>
      <c r="G1491" s="4">
        <f t="shared" si="4"/>
        <v>4733</v>
      </c>
      <c r="H1491" s="4" t="str">
        <f t="shared" si="5"/>
        <v>Uu tien cao</v>
      </c>
    </row>
    <row r="1492" ht="14.25" customHeight="1">
      <c r="A1492" s="4" t="s">
        <v>1509</v>
      </c>
      <c r="B1492" s="4">
        <v>140569.0</v>
      </c>
      <c r="C1492" s="4" t="s">
        <v>886</v>
      </c>
      <c r="D1492" s="4" t="str">
        <f t="shared" si="1"/>
        <v>MA3</v>
      </c>
      <c r="E1492" s="4">
        <f t="shared" si="2"/>
        <v>11714.08333</v>
      </c>
      <c r="F1492" s="4">
        <f t="shared" si="3"/>
        <v>3904.694444</v>
      </c>
      <c r="G1492" s="4">
        <f t="shared" si="4"/>
        <v>11714</v>
      </c>
      <c r="H1492" s="4" t="str">
        <f t="shared" si="5"/>
        <v>Uu tien cao</v>
      </c>
    </row>
    <row r="1493" ht="14.25" customHeight="1">
      <c r="A1493" s="4" t="s">
        <v>1510</v>
      </c>
      <c r="B1493" s="4">
        <v>4483.0</v>
      </c>
      <c r="C1493" s="4" t="s">
        <v>886</v>
      </c>
      <c r="D1493" s="4" t="str">
        <f t="shared" si="1"/>
        <v>MA3</v>
      </c>
      <c r="E1493" s="4">
        <f t="shared" si="2"/>
        <v>373.5833333</v>
      </c>
      <c r="F1493" s="4">
        <f t="shared" si="3"/>
        <v>124.5277778</v>
      </c>
      <c r="G1493" s="4">
        <f t="shared" si="4"/>
        <v>374</v>
      </c>
      <c r="H1493" s="4" t="str">
        <f t="shared" si="5"/>
        <v>Binh thuong</v>
      </c>
    </row>
    <row r="1494" ht="14.25" customHeight="1">
      <c r="A1494" s="4" t="s">
        <v>1511</v>
      </c>
      <c r="B1494" s="4">
        <v>20767.0</v>
      </c>
      <c r="C1494" s="4" t="s">
        <v>886</v>
      </c>
      <c r="D1494" s="4" t="str">
        <f t="shared" si="1"/>
        <v>MA3</v>
      </c>
      <c r="E1494" s="4">
        <f t="shared" si="2"/>
        <v>1730.583333</v>
      </c>
      <c r="F1494" s="4">
        <f t="shared" si="3"/>
        <v>576.8611111</v>
      </c>
      <c r="G1494" s="4">
        <f t="shared" si="4"/>
        <v>1731</v>
      </c>
      <c r="H1494" s="4" t="str">
        <f t="shared" si="5"/>
        <v>Binh thuong</v>
      </c>
    </row>
    <row r="1495" ht="14.25" customHeight="1">
      <c r="A1495" s="4" t="s">
        <v>1512</v>
      </c>
      <c r="B1495" s="4">
        <v>123992.0</v>
      </c>
      <c r="C1495" s="4" t="s">
        <v>886</v>
      </c>
      <c r="D1495" s="4" t="str">
        <f t="shared" si="1"/>
        <v>MA3</v>
      </c>
      <c r="E1495" s="4">
        <f t="shared" si="2"/>
        <v>10332.66667</v>
      </c>
      <c r="F1495" s="4">
        <f t="shared" si="3"/>
        <v>3444.222222</v>
      </c>
      <c r="G1495" s="4">
        <f t="shared" si="4"/>
        <v>10333</v>
      </c>
      <c r="H1495" s="4" t="str">
        <f t="shared" si="5"/>
        <v>Uu tien cao</v>
      </c>
    </row>
    <row r="1496" ht="14.25" customHeight="1">
      <c r="A1496" s="4" t="s">
        <v>1513</v>
      </c>
      <c r="B1496" s="4">
        <v>4142.0</v>
      </c>
      <c r="C1496" s="4" t="s">
        <v>886</v>
      </c>
      <c r="D1496" s="4" t="str">
        <f t="shared" si="1"/>
        <v>MA3</v>
      </c>
      <c r="E1496" s="4">
        <f t="shared" si="2"/>
        <v>345.1666667</v>
      </c>
      <c r="F1496" s="4">
        <f t="shared" si="3"/>
        <v>115.0555556</v>
      </c>
      <c r="G1496" s="4">
        <f t="shared" si="4"/>
        <v>345</v>
      </c>
      <c r="H1496" s="4" t="str">
        <f t="shared" si="5"/>
        <v>Binh thuong</v>
      </c>
    </row>
    <row r="1497" ht="14.25" customHeight="1">
      <c r="A1497" s="4" t="s">
        <v>1514</v>
      </c>
      <c r="B1497" s="4">
        <v>16874.0</v>
      </c>
      <c r="C1497" s="4" t="s">
        <v>886</v>
      </c>
      <c r="D1497" s="4" t="str">
        <f t="shared" si="1"/>
        <v>MA3</v>
      </c>
      <c r="E1497" s="4">
        <f t="shared" si="2"/>
        <v>1406.166667</v>
      </c>
      <c r="F1497" s="4">
        <f t="shared" si="3"/>
        <v>468.7222222</v>
      </c>
      <c r="G1497" s="4">
        <f t="shared" si="4"/>
        <v>1406</v>
      </c>
      <c r="H1497" s="4" t="str">
        <f t="shared" si="5"/>
        <v>Binh thuong</v>
      </c>
    </row>
    <row r="1498" ht="14.25" customHeight="1">
      <c r="A1498" s="4" t="s">
        <v>1515</v>
      </c>
      <c r="B1498" s="4">
        <v>146376.0</v>
      </c>
      <c r="C1498" s="4" t="s">
        <v>886</v>
      </c>
      <c r="D1498" s="4" t="str">
        <f t="shared" si="1"/>
        <v>MA3</v>
      </c>
      <c r="E1498" s="4">
        <f t="shared" si="2"/>
        <v>12198</v>
      </c>
      <c r="F1498" s="4">
        <f t="shared" si="3"/>
        <v>4066</v>
      </c>
      <c r="G1498" s="4">
        <f t="shared" si="4"/>
        <v>12198</v>
      </c>
      <c r="H1498" s="4" t="str">
        <f t="shared" si="5"/>
        <v>Uu tien cao</v>
      </c>
    </row>
    <row r="1499" ht="14.25" customHeight="1">
      <c r="A1499" s="4" t="s">
        <v>1516</v>
      </c>
      <c r="B1499" s="4">
        <v>5400.0</v>
      </c>
      <c r="C1499" s="4" t="s">
        <v>886</v>
      </c>
      <c r="D1499" s="4" t="str">
        <f t="shared" si="1"/>
        <v>MA3</v>
      </c>
      <c r="E1499" s="4">
        <f t="shared" si="2"/>
        <v>450</v>
      </c>
      <c r="F1499" s="4">
        <f t="shared" si="3"/>
        <v>150</v>
      </c>
      <c r="G1499" s="4">
        <f t="shared" si="4"/>
        <v>450</v>
      </c>
      <c r="H1499" s="4" t="str">
        <f t="shared" si="5"/>
        <v>Binh thuong</v>
      </c>
    </row>
    <row r="1500" ht="14.25" customHeight="1">
      <c r="A1500" s="4" t="s">
        <v>1517</v>
      </c>
      <c r="B1500" s="4">
        <v>31298.0</v>
      </c>
      <c r="C1500" s="4" t="s">
        <v>886</v>
      </c>
      <c r="D1500" s="4" t="str">
        <f t="shared" si="1"/>
        <v>MA3</v>
      </c>
      <c r="E1500" s="4">
        <f t="shared" si="2"/>
        <v>2608.166667</v>
      </c>
      <c r="F1500" s="4">
        <f t="shared" si="3"/>
        <v>869.3888889</v>
      </c>
      <c r="G1500" s="4">
        <f t="shared" si="4"/>
        <v>2608</v>
      </c>
      <c r="H1500" s="4" t="str">
        <f t="shared" si="5"/>
        <v>Binh thuong</v>
      </c>
    </row>
    <row r="1501" ht="14.25" customHeight="1">
      <c r="A1501" s="4" t="s">
        <v>1518</v>
      </c>
      <c r="B1501" s="4">
        <v>128514.0</v>
      </c>
      <c r="C1501" s="4" t="s">
        <v>886</v>
      </c>
      <c r="D1501" s="4" t="str">
        <f t="shared" si="1"/>
        <v>MA3</v>
      </c>
      <c r="E1501" s="4">
        <f t="shared" si="2"/>
        <v>10709.5</v>
      </c>
      <c r="F1501" s="4">
        <f t="shared" si="3"/>
        <v>3569.833333</v>
      </c>
      <c r="G1501" s="4">
        <f t="shared" si="4"/>
        <v>10710</v>
      </c>
      <c r="H1501" s="4" t="str">
        <f t="shared" si="5"/>
        <v>Uu tien cao</v>
      </c>
    </row>
    <row r="1502" ht="14.25" customHeight="1">
      <c r="A1502" s="4" t="s">
        <v>1519</v>
      </c>
      <c r="B1502" s="4">
        <v>15540.0</v>
      </c>
      <c r="C1502" s="4" t="s">
        <v>886</v>
      </c>
      <c r="D1502" s="4" t="str">
        <f t="shared" si="1"/>
        <v>MA3</v>
      </c>
      <c r="E1502" s="4">
        <f t="shared" si="2"/>
        <v>1295</v>
      </c>
      <c r="F1502" s="4">
        <f t="shared" si="3"/>
        <v>431.6666667</v>
      </c>
      <c r="G1502" s="4">
        <f t="shared" si="4"/>
        <v>1295</v>
      </c>
      <c r="H1502" s="4" t="str">
        <f t="shared" si="5"/>
        <v>Binh thuong</v>
      </c>
    </row>
    <row r="1503" ht="14.25" customHeight="1">
      <c r="A1503" s="4" t="s">
        <v>1520</v>
      </c>
      <c r="B1503" s="4">
        <v>129958.0</v>
      </c>
      <c r="C1503" s="4" t="s">
        <v>886</v>
      </c>
      <c r="D1503" s="4" t="str">
        <f t="shared" si="1"/>
        <v>MA3</v>
      </c>
      <c r="E1503" s="4">
        <f t="shared" si="2"/>
        <v>10829.83333</v>
      </c>
      <c r="F1503" s="4">
        <f t="shared" si="3"/>
        <v>3609.944444</v>
      </c>
      <c r="G1503" s="4">
        <f t="shared" si="4"/>
        <v>10830</v>
      </c>
      <c r="H1503" s="4" t="str">
        <f t="shared" si="5"/>
        <v>Uu tien cao</v>
      </c>
    </row>
    <row r="1504" ht="14.25" customHeight="1">
      <c r="A1504" s="4" t="s">
        <v>1521</v>
      </c>
      <c r="B1504" s="4">
        <v>163384.0</v>
      </c>
      <c r="C1504" s="4" t="s">
        <v>886</v>
      </c>
      <c r="D1504" s="4" t="str">
        <f t="shared" si="1"/>
        <v>MA3</v>
      </c>
      <c r="E1504" s="4">
        <f t="shared" si="2"/>
        <v>13615.33333</v>
      </c>
      <c r="F1504" s="4">
        <f t="shared" si="3"/>
        <v>4538.444444</v>
      </c>
      <c r="G1504" s="4">
        <f t="shared" si="4"/>
        <v>13615</v>
      </c>
      <c r="H1504" s="4" t="str">
        <f t="shared" si="5"/>
        <v>Uu tien cao</v>
      </c>
    </row>
    <row r="1505" ht="14.25" customHeight="1">
      <c r="A1505" s="4" t="s">
        <v>1522</v>
      </c>
      <c r="B1505" s="4">
        <v>29388.0</v>
      </c>
      <c r="C1505" s="4" t="s">
        <v>886</v>
      </c>
      <c r="D1505" s="4" t="str">
        <f t="shared" si="1"/>
        <v>MA3</v>
      </c>
      <c r="E1505" s="4">
        <f t="shared" si="2"/>
        <v>2449</v>
      </c>
      <c r="F1505" s="4">
        <f t="shared" si="3"/>
        <v>816.3333333</v>
      </c>
      <c r="G1505" s="4">
        <f t="shared" si="4"/>
        <v>2449</v>
      </c>
      <c r="H1505" s="4" t="str">
        <f t="shared" si="5"/>
        <v>Binh thuong</v>
      </c>
    </row>
    <row r="1506" ht="14.25" customHeight="1">
      <c r="A1506" s="4" t="s">
        <v>1523</v>
      </c>
      <c r="B1506" s="4">
        <v>126843.0</v>
      </c>
      <c r="C1506" s="4" t="s">
        <v>886</v>
      </c>
      <c r="D1506" s="4" t="str">
        <f t="shared" si="1"/>
        <v>MA3</v>
      </c>
      <c r="E1506" s="4">
        <f t="shared" si="2"/>
        <v>10570.25</v>
      </c>
      <c r="F1506" s="4">
        <f t="shared" si="3"/>
        <v>3523.416667</v>
      </c>
      <c r="G1506" s="4">
        <f t="shared" si="4"/>
        <v>10570</v>
      </c>
      <c r="H1506" s="4" t="str">
        <f t="shared" si="5"/>
        <v>Uu tien cao</v>
      </c>
    </row>
    <row r="1507" ht="14.25" customHeight="1">
      <c r="A1507" s="4" t="s">
        <v>1524</v>
      </c>
      <c r="B1507" s="4">
        <v>43841.0</v>
      </c>
      <c r="C1507" s="4" t="s">
        <v>886</v>
      </c>
      <c r="D1507" s="4" t="str">
        <f t="shared" si="1"/>
        <v>MA3</v>
      </c>
      <c r="E1507" s="4">
        <f t="shared" si="2"/>
        <v>3653.416667</v>
      </c>
      <c r="F1507" s="4">
        <f t="shared" si="3"/>
        <v>1217.805556</v>
      </c>
      <c r="G1507" s="4">
        <f t="shared" si="4"/>
        <v>3653</v>
      </c>
      <c r="H1507" s="4" t="str">
        <f t="shared" si="5"/>
        <v>Uu tien cao</v>
      </c>
    </row>
    <row r="1508" ht="14.25" customHeight="1">
      <c r="A1508" s="4" t="s">
        <v>1525</v>
      </c>
      <c r="B1508" s="4">
        <v>8061.0</v>
      </c>
      <c r="C1508" s="4" t="s">
        <v>886</v>
      </c>
      <c r="D1508" s="4" t="str">
        <f t="shared" si="1"/>
        <v>MA3</v>
      </c>
      <c r="E1508" s="4">
        <f t="shared" si="2"/>
        <v>671.75</v>
      </c>
      <c r="F1508" s="4">
        <f t="shared" si="3"/>
        <v>223.9166667</v>
      </c>
      <c r="G1508" s="4">
        <f t="shared" si="4"/>
        <v>672</v>
      </c>
      <c r="H1508" s="4" t="str">
        <f t="shared" si="5"/>
        <v>Binh thuong</v>
      </c>
    </row>
    <row r="1509" ht="14.25" customHeight="1">
      <c r="A1509" s="4" t="s">
        <v>1526</v>
      </c>
      <c r="B1509" s="4">
        <v>40333.0</v>
      </c>
      <c r="C1509" s="4" t="s">
        <v>886</v>
      </c>
      <c r="D1509" s="4" t="str">
        <f t="shared" si="1"/>
        <v>MA3</v>
      </c>
      <c r="E1509" s="4">
        <f t="shared" si="2"/>
        <v>3361.083333</v>
      </c>
      <c r="F1509" s="4">
        <f t="shared" si="3"/>
        <v>1120.361111</v>
      </c>
      <c r="G1509" s="4">
        <f t="shared" si="4"/>
        <v>3361</v>
      </c>
      <c r="H1509" s="4" t="str">
        <f t="shared" si="5"/>
        <v>Binh thuong</v>
      </c>
    </row>
    <row r="1510" ht="14.25" customHeight="1">
      <c r="A1510" s="4" t="s">
        <v>1527</v>
      </c>
      <c r="B1510" s="4">
        <v>44147.0</v>
      </c>
      <c r="C1510" s="4" t="s">
        <v>886</v>
      </c>
      <c r="D1510" s="4" t="str">
        <f t="shared" si="1"/>
        <v>MA3</v>
      </c>
      <c r="E1510" s="4">
        <f t="shared" si="2"/>
        <v>3678.916667</v>
      </c>
      <c r="F1510" s="4">
        <f t="shared" si="3"/>
        <v>1226.305556</v>
      </c>
      <c r="G1510" s="4">
        <f t="shared" si="4"/>
        <v>3679</v>
      </c>
      <c r="H1510" s="4" t="str">
        <f t="shared" si="5"/>
        <v>Uu tien cao</v>
      </c>
    </row>
    <row r="1511" ht="14.25" customHeight="1">
      <c r="A1511" s="4" t="s">
        <v>1528</v>
      </c>
      <c r="B1511" s="4">
        <v>4575.0</v>
      </c>
      <c r="C1511" s="4" t="s">
        <v>886</v>
      </c>
      <c r="D1511" s="4" t="str">
        <f t="shared" si="1"/>
        <v>MA3</v>
      </c>
      <c r="E1511" s="4">
        <f t="shared" si="2"/>
        <v>381.25</v>
      </c>
      <c r="F1511" s="4">
        <f t="shared" si="3"/>
        <v>127.0833333</v>
      </c>
      <c r="G1511" s="4">
        <f t="shared" si="4"/>
        <v>381</v>
      </c>
      <c r="H1511" s="4" t="str">
        <f t="shared" si="5"/>
        <v>Binh thuong</v>
      </c>
    </row>
    <row r="1512" ht="14.25" customHeight="1">
      <c r="A1512" s="4" t="s">
        <v>1529</v>
      </c>
      <c r="B1512" s="4">
        <v>33712.0</v>
      </c>
      <c r="C1512" s="4" t="s">
        <v>886</v>
      </c>
      <c r="D1512" s="4" t="str">
        <f t="shared" si="1"/>
        <v>MA3</v>
      </c>
      <c r="E1512" s="4">
        <f t="shared" si="2"/>
        <v>2809.333333</v>
      </c>
      <c r="F1512" s="4">
        <f t="shared" si="3"/>
        <v>936.4444444</v>
      </c>
      <c r="G1512" s="4">
        <f t="shared" si="4"/>
        <v>2809</v>
      </c>
      <c r="H1512" s="4" t="str">
        <f t="shared" si="5"/>
        <v>Binh thuong</v>
      </c>
    </row>
    <row r="1513" ht="14.25" customHeight="1">
      <c r="A1513" s="4" t="s">
        <v>1530</v>
      </c>
      <c r="B1513" s="4">
        <v>82870.0</v>
      </c>
      <c r="C1513" s="4" t="s">
        <v>886</v>
      </c>
      <c r="D1513" s="4" t="str">
        <f t="shared" si="1"/>
        <v>MA3</v>
      </c>
      <c r="E1513" s="4">
        <f t="shared" si="2"/>
        <v>6905.833333</v>
      </c>
      <c r="F1513" s="4">
        <f t="shared" si="3"/>
        <v>2301.944444</v>
      </c>
      <c r="G1513" s="4">
        <f t="shared" si="4"/>
        <v>6906</v>
      </c>
      <c r="H1513" s="4" t="str">
        <f t="shared" si="5"/>
        <v>Uu tien cao</v>
      </c>
    </row>
    <row r="1514" ht="14.25" customHeight="1">
      <c r="A1514" s="4" t="s">
        <v>1531</v>
      </c>
      <c r="B1514" s="4">
        <v>7331.0</v>
      </c>
      <c r="C1514" s="4" t="s">
        <v>886</v>
      </c>
      <c r="D1514" s="4" t="str">
        <f t="shared" si="1"/>
        <v>MA3</v>
      </c>
      <c r="E1514" s="4">
        <f t="shared" si="2"/>
        <v>610.9166667</v>
      </c>
      <c r="F1514" s="4">
        <f t="shared" si="3"/>
        <v>203.6388889</v>
      </c>
      <c r="G1514" s="4">
        <f t="shared" si="4"/>
        <v>611</v>
      </c>
      <c r="H1514" s="4" t="str">
        <f t="shared" si="5"/>
        <v>Binh thuong</v>
      </c>
    </row>
    <row r="1515" ht="14.25" customHeight="1">
      <c r="A1515" s="4" t="s">
        <v>1532</v>
      </c>
      <c r="B1515" s="4">
        <v>49432.0</v>
      </c>
      <c r="C1515" s="4" t="s">
        <v>886</v>
      </c>
      <c r="D1515" s="4" t="str">
        <f t="shared" si="1"/>
        <v>MA3</v>
      </c>
      <c r="E1515" s="4">
        <f t="shared" si="2"/>
        <v>4119.333333</v>
      </c>
      <c r="F1515" s="4">
        <f t="shared" si="3"/>
        <v>1373.111111</v>
      </c>
      <c r="G1515" s="4">
        <f t="shared" si="4"/>
        <v>4119</v>
      </c>
      <c r="H1515" s="4" t="str">
        <f t="shared" si="5"/>
        <v>Uu tien cao</v>
      </c>
    </row>
    <row r="1516" ht="14.25" customHeight="1">
      <c r="A1516" s="4" t="s">
        <v>1533</v>
      </c>
      <c r="B1516" s="4">
        <v>52804.0</v>
      </c>
      <c r="C1516" s="4" t="s">
        <v>886</v>
      </c>
      <c r="D1516" s="4" t="str">
        <f t="shared" si="1"/>
        <v>MA3</v>
      </c>
      <c r="E1516" s="4">
        <f t="shared" si="2"/>
        <v>4400.333333</v>
      </c>
      <c r="F1516" s="4">
        <f t="shared" si="3"/>
        <v>1466.777778</v>
      </c>
      <c r="G1516" s="4">
        <f t="shared" si="4"/>
        <v>4400</v>
      </c>
      <c r="H1516" s="4" t="str">
        <f t="shared" si="5"/>
        <v>Uu tien cao</v>
      </c>
    </row>
    <row r="1517" ht="14.25" customHeight="1">
      <c r="A1517" s="4" t="s">
        <v>1534</v>
      </c>
      <c r="B1517" s="4">
        <v>5567.0</v>
      </c>
      <c r="C1517" s="4" t="s">
        <v>886</v>
      </c>
      <c r="D1517" s="4" t="str">
        <f t="shared" si="1"/>
        <v>MA3</v>
      </c>
      <c r="E1517" s="4">
        <f t="shared" si="2"/>
        <v>463.9166667</v>
      </c>
      <c r="F1517" s="4">
        <f t="shared" si="3"/>
        <v>154.6388889</v>
      </c>
      <c r="G1517" s="4">
        <f t="shared" si="4"/>
        <v>464</v>
      </c>
      <c r="H1517" s="4" t="str">
        <f t="shared" si="5"/>
        <v>Binh thuong</v>
      </c>
    </row>
    <row r="1518" ht="14.25" customHeight="1">
      <c r="A1518" s="4" t="s">
        <v>1535</v>
      </c>
      <c r="B1518" s="4">
        <v>31111.0</v>
      </c>
      <c r="C1518" s="4" t="s">
        <v>886</v>
      </c>
      <c r="D1518" s="4" t="str">
        <f t="shared" si="1"/>
        <v>MA3</v>
      </c>
      <c r="E1518" s="4">
        <f t="shared" si="2"/>
        <v>2592.583333</v>
      </c>
      <c r="F1518" s="4">
        <f t="shared" si="3"/>
        <v>864.1944444</v>
      </c>
      <c r="G1518" s="4">
        <f t="shared" si="4"/>
        <v>2593</v>
      </c>
      <c r="H1518" s="4" t="str">
        <f t="shared" si="5"/>
        <v>Binh thuong</v>
      </c>
    </row>
    <row r="1519" ht="14.25" customHeight="1">
      <c r="A1519" s="4" t="s">
        <v>1536</v>
      </c>
      <c r="B1519" s="4">
        <v>79903.0</v>
      </c>
      <c r="C1519" s="4" t="s">
        <v>886</v>
      </c>
      <c r="D1519" s="4" t="str">
        <f t="shared" si="1"/>
        <v>MA3</v>
      </c>
      <c r="E1519" s="4">
        <f t="shared" si="2"/>
        <v>6658.583333</v>
      </c>
      <c r="F1519" s="4">
        <f t="shared" si="3"/>
        <v>2219.527778</v>
      </c>
      <c r="G1519" s="4">
        <f t="shared" si="4"/>
        <v>6659</v>
      </c>
      <c r="H1519" s="4" t="str">
        <f t="shared" si="5"/>
        <v>Uu tien cao</v>
      </c>
    </row>
    <row r="1520" ht="14.25" customHeight="1">
      <c r="A1520" s="4" t="s">
        <v>1537</v>
      </c>
      <c r="B1520" s="4">
        <v>6464.0</v>
      </c>
      <c r="C1520" s="4" t="s">
        <v>886</v>
      </c>
      <c r="D1520" s="4" t="str">
        <f t="shared" si="1"/>
        <v>MA3</v>
      </c>
      <c r="E1520" s="4">
        <f t="shared" si="2"/>
        <v>538.6666667</v>
      </c>
      <c r="F1520" s="4">
        <f t="shared" si="3"/>
        <v>179.5555556</v>
      </c>
      <c r="G1520" s="4">
        <f t="shared" si="4"/>
        <v>539</v>
      </c>
      <c r="H1520" s="4" t="str">
        <f t="shared" si="5"/>
        <v>Binh thuong</v>
      </c>
    </row>
    <row r="1521" ht="14.25" customHeight="1">
      <c r="A1521" s="4" t="s">
        <v>1538</v>
      </c>
      <c r="B1521" s="4">
        <v>56102.0</v>
      </c>
      <c r="C1521" s="4" t="s">
        <v>886</v>
      </c>
      <c r="D1521" s="4" t="str">
        <f t="shared" si="1"/>
        <v>MA3</v>
      </c>
      <c r="E1521" s="4">
        <f t="shared" si="2"/>
        <v>4675.166667</v>
      </c>
      <c r="F1521" s="4">
        <f t="shared" si="3"/>
        <v>1558.388889</v>
      </c>
      <c r="G1521" s="4">
        <f t="shared" si="4"/>
        <v>4675</v>
      </c>
      <c r="H1521" s="4" t="str">
        <f t="shared" si="5"/>
        <v>Uu tien cao</v>
      </c>
    </row>
    <row r="1522" ht="14.25" customHeight="1">
      <c r="A1522" s="4" t="s">
        <v>1539</v>
      </c>
      <c r="B1522" s="4">
        <v>49986.0</v>
      </c>
      <c r="C1522" s="4" t="s">
        <v>886</v>
      </c>
      <c r="D1522" s="4" t="str">
        <f t="shared" si="1"/>
        <v>MA3</v>
      </c>
      <c r="E1522" s="4">
        <f t="shared" si="2"/>
        <v>4165.5</v>
      </c>
      <c r="F1522" s="4">
        <f t="shared" si="3"/>
        <v>1388.5</v>
      </c>
      <c r="G1522" s="4">
        <f t="shared" si="4"/>
        <v>4166</v>
      </c>
      <c r="H1522" s="4" t="str">
        <f t="shared" si="5"/>
        <v>Uu tien cao</v>
      </c>
    </row>
    <row r="1523" ht="14.25" customHeight="1">
      <c r="A1523" s="4" t="s">
        <v>1540</v>
      </c>
      <c r="B1523" s="4">
        <v>6594.0</v>
      </c>
      <c r="C1523" s="4" t="s">
        <v>886</v>
      </c>
      <c r="D1523" s="4" t="str">
        <f t="shared" si="1"/>
        <v>MA3</v>
      </c>
      <c r="E1523" s="4">
        <f t="shared" si="2"/>
        <v>549.5</v>
      </c>
      <c r="F1523" s="4">
        <f t="shared" si="3"/>
        <v>183.1666667</v>
      </c>
      <c r="G1523" s="4">
        <f t="shared" si="4"/>
        <v>550</v>
      </c>
      <c r="H1523" s="4" t="str">
        <f t="shared" si="5"/>
        <v>Binh thuong</v>
      </c>
    </row>
    <row r="1524" ht="14.25" customHeight="1">
      <c r="A1524" s="4" t="s">
        <v>1541</v>
      </c>
      <c r="B1524" s="4">
        <v>48282.0</v>
      </c>
      <c r="C1524" s="4" t="s">
        <v>886</v>
      </c>
      <c r="D1524" s="4" t="str">
        <f t="shared" si="1"/>
        <v>MA3</v>
      </c>
      <c r="E1524" s="4">
        <f t="shared" si="2"/>
        <v>4023.5</v>
      </c>
      <c r="F1524" s="4">
        <f t="shared" si="3"/>
        <v>1341.166667</v>
      </c>
      <c r="G1524" s="4">
        <f t="shared" si="4"/>
        <v>4024</v>
      </c>
      <c r="H1524" s="4" t="str">
        <f t="shared" si="5"/>
        <v>Uu tien cao</v>
      </c>
    </row>
    <row r="1525" ht="14.25" customHeight="1">
      <c r="A1525" s="4" t="s">
        <v>1542</v>
      </c>
      <c r="B1525" s="4">
        <v>2318.0</v>
      </c>
      <c r="C1525" s="4" t="s">
        <v>886</v>
      </c>
      <c r="D1525" s="4" t="str">
        <f t="shared" si="1"/>
        <v>MA3</v>
      </c>
      <c r="E1525" s="4">
        <f t="shared" si="2"/>
        <v>193.1666667</v>
      </c>
      <c r="F1525" s="4">
        <f t="shared" si="3"/>
        <v>64.38888889</v>
      </c>
      <c r="G1525" s="4">
        <f t="shared" si="4"/>
        <v>193</v>
      </c>
      <c r="H1525" s="4" t="str">
        <f t="shared" si="5"/>
        <v>Binh thuong</v>
      </c>
    </row>
    <row r="1526" ht="14.25" customHeight="1">
      <c r="A1526" s="4" t="s">
        <v>1543</v>
      </c>
      <c r="B1526" s="4">
        <v>5586.0</v>
      </c>
      <c r="C1526" s="4" t="s">
        <v>886</v>
      </c>
      <c r="D1526" s="4" t="str">
        <f t="shared" si="1"/>
        <v>MA3</v>
      </c>
      <c r="E1526" s="4">
        <f t="shared" si="2"/>
        <v>465.5</v>
      </c>
      <c r="F1526" s="4">
        <f t="shared" si="3"/>
        <v>155.1666667</v>
      </c>
      <c r="G1526" s="4">
        <f t="shared" si="4"/>
        <v>466</v>
      </c>
      <c r="H1526" s="4" t="str">
        <f t="shared" si="5"/>
        <v>Binh thuong</v>
      </c>
    </row>
    <row r="1527" ht="14.25" customHeight="1">
      <c r="A1527" s="4" t="s">
        <v>1544</v>
      </c>
      <c r="B1527" s="4">
        <v>75915.0</v>
      </c>
      <c r="C1527" s="4" t="s">
        <v>886</v>
      </c>
      <c r="D1527" s="4" t="str">
        <f t="shared" si="1"/>
        <v>MA3</v>
      </c>
      <c r="E1527" s="4">
        <f t="shared" si="2"/>
        <v>6326.25</v>
      </c>
      <c r="F1527" s="4">
        <f t="shared" si="3"/>
        <v>2108.75</v>
      </c>
      <c r="G1527" s="4">
        <f t="shared" si="4"/>
        <v>6326</v>
      </c>
      <c r="H1527" s="4" t="str">
        <f t="shared" si="5"/>
        <v>Uu tien cao</v>
      </c>
    </row>
    <row r="1528" ht="14.25" customHeight="1">
      <c r="A1528" s="4" t="s">
        <v>1545</v>
      </c>
      <c r="B1528" s="4">
        <v>7986.0</v>
      </c>
      <c r="C1528" s="4" t="s">
        <v>886</v>
      </c>
      <c r="D1528" s="4" t="str">
        <f t="shared" si="1"/>
        <v>MA3</v>
      </c>
      <c r="E1528" s="4">
        <f t="shared" si="2"/>
        <v>665.5</v>
      </c>
      <c r="F1528" s="4">
        <f t="shared" si="3"/>
        <v>221.8333333</v>
      </c>
      <c r="G1528" s="4">
        <f t="shared" si="4"/>
        <v>666</v>
      </c>
      <c r="H1528" s="4" t="str">
        <f t="shared" si="5"/>
        <v>Binh thuong</v>
      </c>
    </row>
    <row r="1529" ht="14.25" customHeight="1">
      <c r="A1529" s="4" t="s">
        <v>1546</v>
      </c>
      <c r="B1529" s="4">
        <v>36253.0</v>
      </c>
      <c r="C1529" s="4" t="s">
        <v>886</v>
      </c>
      <c r="D1529" s="4" t="str">
        <f t="shared" si="1"/>
        <v>MA3</v>
      </c>
      <c r="E1529" s="4">
        <f t="shared" si="2"/>
        <v>3021.083333</v>
      </c>
      <c r="F1529" s="4">
        <f t="shared" si="3"/>
        <v>1007.027778</v>
      </c>
      <c r="G1529" s="4">
        <f t="shared" si="4"/>
        <v>3021</v>
      </c>
      <c r="H1529" s="4" t="str">
        <f t="shared" si="5"/>
        <v>Binh thuong</v>
      </c>
    </row>
    <row r="1530" ht="14.25" customHeight="1">
      <c r="A1530" s="4" t="s">
        <v>1547</v>
      </c>
      <c r="B1530" s="4">
        <v>76638.0</v>
      </c>
      <c r="C1530" s="4" t="s">
        <v>886</v>
      </c>
      <c r="D1530" s="4" t="str">
        <f t="shared" si="1"/>
        <v>MA3</v>
      </c>
      <c r="E1530" s="4">
        <f t="shared" si="2"/>
        <v>6386.5</v>
      </c>
      <c r="F1530" s="4">
        <f t="shared" si="3"/>
        <v>2128.833333</v>
      </c>
      <c r="G1530" s="4">
        <f t="shared" si="4"/>
        <v>6387</v>
      </c>
      <c r="H1530" s="4" t="str">
        <f t="shared" si="5"/>
        <v>Uu tien cao</v>
      </c>
    </row>
    <row r="1531" ht="14.25" customHeight="1">
      <c r="A1531" s="4" t="s">
        <v>1548</v>
      </c>
      <c r="B1531" s="4">
        <v>9067.0</v>
      </c>
      <c r="C1531" s="4" t="s">
        <v>886</v>
      </c>
      <c r="D1531" s="4" t="str">
        <f t="shared" si="1"/>
        <v>MA3</v>
      </c>
      <c r="E1531" s="4">
        <f t="shared" si="2"/>
        <v>755.5833333</v>
      </c>
      <c r="F1531" s="4">
        <f t="shared" si="3"/>
        <v>251.8611111</v>
      </c>
      <c r="G1531" s="4">
        <f t="shared" si="4"/>
        <v>756</v>
      </c>
      <c r="H1531" s="4" t="str">
        <f t="shared" si="5"/>
        <v>Binh thuong</v>
      </c>
    </row>
    <row r="1532" ht="14.25" customHeight="1">
      <c r="A1532" s="4" t="s">
        <v>1549</v>
      </c>
      <c r="B1532" s="4">
        <v>39180.0</v>
      </c>
      <c r="C1532" s="4" t="s">
        <v>886</v>
      </c>
      <c r="D1532" s="4" t="str">
        <f t="shared" si="1"/>
        <v>MA3</v>
      </c>
      <c r="E1532" s="4">
        <f t="shared" si="2"/>
        <v>3265</v>
      </c>
      <c r="F1532" s="4">
        <f t="shared" si="3"/>
        <v>1088.333333</v>
      </c>
      <c r="G1532" s="4">
        <f t="shared" si="4"/>
        <v>3265</v>
      </c>
      <c r="H1532" s="4" t="str">
        <f t="shared" si="5"/>
        <v>Binh thuong</v>
      </c>
    </row>
    <row r="1533" ht="14.25" customHeight="1">
      <c r="A1533" s="4" t="s">
        <v>1550</v>
      </c>
      <c r="B1533" s="4">
        <v>48815.0</v>
      </c>
      <c r="C1533" s="4" t="s">
        <v>886</v>
      </c>
      <c r="D1533" s="4" t="str">
        <f t="shared" si="1"/>
        <v>MA3</v>
      </c>
      <c r="E1533" s="4">
        <f t="shared" si="2"/>
        <v>4067.916667</v>
      </c>
      <c r="F1533" s="4">
        <f t="shared" si="3"/>
        <v>1355.972222</v>
      </c>
      <c r="G1533" s="4">
        <f t="shared" si="4"/>
        <v>4068</v>
      </c>
      <c r="H1533" s="4" t="str">
        <f t="shared" si="5"/>
        <v>Uu tien cao</v>
      </c>
    </row>
    <row r="1534" ht="14.25" customHeight="1">
      <c r="A1534" s="4" t="s">
        <v>1551</v>
      </c>
      <c r="B1534" s="4">
        <v>2600.0</v>
      </c>
      <c r="C1534" s="4" t="s">
        <v>886</v>
      </c>
      <c r="D1534" s="4" t="str">
        <f t="shared" si="1"/>
        <v>MA3</v>
      </c>
      <c r="E1534" s="4">
        <f t="shared" si="2"/>
        <v>216.6666667</v>
      </c>
      <c r="F1534" s="4">
        <f t="shared" si="3"/>
        <v>72.22222222</v>
      </c>
      <c r="G1534" s="4">
        <f t="shared" si="4"/>
        <v>217</v>
      </c>
      <c r="H1534" s="4" t="str">
        <f t="shared" si="5"/>
        <v>Binh thuong</v>
      </c>
    </row>
    <row r="1535" ht="14.25" customHeight="1">
      <c r="A1535" s="4" t="s">
        <v>1552</v>
      </c>
      <c r="B1535" s="4">
        <v>6399.0</v>
      </c>
      <c r="C1535" s="4" t="s">
        <v>886</v>
      </c>
      <c r="D1535" s="4" t="str">
        <f t="shared" si="1"/>
        <v>MA3</v>
      </c>
      <c r="E1535" s="4">
        <f t="shared" si="2"/>
        <v>533.25</v>
      </c>
      <c r="F1535" s="4">
        <f t="shared" si="3"/>
        <v>177.75</v>
      </c>
      <c r="G1535" s="4">
        <f t="shared" si="4"/>
        <v>533</v>
      </c>
      <c r="H1535" s="4" t="str">
        <f t="shared" si="5"/>
        <v>Binh thuong</v>
      </c>
    </row>
    <row r="1536" ht="14.25" customHeight="1">
      <c r="A1536" s="4" t="s">
        <v>1553</v>
      </c>
      <c r="B1536" s="4">
        <v>29799.0</v>
      </c>
      <c r="C1536" s="4" t="s">
        <v>886</v>
      </c>
      <c r="D1536" s="4" t="str">
        <f t="shared" si="1"/>
        <v>MA3</v>
      </c>
      <c r="E1536" s="4">
        <f t="shared" si="2"/>
        <v>2483.25</v>
      </c>
      <c r="F1536" s="4">
        <f t="shared" si="3"/>
        <v>827.75</v>
      </c>
      <c r="G1536" s="4">
        <f t="shared" si="4"/>
        <v>2483</v>
      </c>
      <c r="H1536" s="4" t="str">
        <f t="shared" si="5"/>
        <v>Binh thuong</v>
      </c>
    </row>
    <row r="1537" ht="14.25" customHeight="1">
      <c r="A1537" s="4" t="s">
        <v>1554</v>
      </c>
      <c r="B1537" s="4">
        <v>1354.0</v>
      </c>
      <c r="C1537" s="4" t="s">
        <v>886</v>
      </c>
      <c r="D1537" s="4" t="str">
        <f t="shared" si="1"/>
        <v>MA3</v>
      </c>
      <c r="E1537" s="4">
        <f t="shared" si="2"/>
        <v>112.8333333</v>
      </c>
      <c r="F1537" s="4">
        <f t="shared" si="3"/>
        <v>37.61111111</v>
      </c>
      <c r="G1537" s="4">
        <f t="shared" si="4"/>
        <v>113</v>
      </c>
      <c r="H1537" s="4" t="str">
        <f t="shared" si="5"/>
        <v>Binh thuong</v>
      </c>
    </row>
    <row r="1538" ht="14.25" customHeight="1">
      <c r="A1538" s="4" t="s">
        <v>1555</v>
      </c>
      <c r="B1538" s="4">
        <v>4556.0</v>
      </c>
      <c r="C1538" s="4" t="s">
        <v>886</v>
      </c>
      <c r="D1538" s="4" t="str">
        <f t="shared" si="1"/>
        <v>MA3</v>
      </c>
      <c r="E1538" s="4">
        <f t="shared" si="2"/>
        <v>379.6666667</v>
      </c>
      <c r="F1538" s="4">
        <f t="shared" si="3"/>
        <v>126.5555556</v>
      </c>
      <c r="G1538" s="4">
        <f t="shared" si="4"/>
        <v>380</v>
      </c>
      <c r="H1538" s="4" t="str">
        <f t="shared" si="5"/>
        <v>Binh thuong</v>
      </c>
    </row>
    <row r="1539" ht="14.25" customHeight="1">
      <c r="A1539" s="4" t="s">
        <v>1556</v>
      </c>
      <c r="B1539" s="4">
        <v>30010.0</v>
      </c>
      <c r="C1539" s="4" t="s">
        <v>886</v>
      </c>
      <c r="D1539" s="4" t="str">
        <f t="shared" si="1"/>
        <v>MA3</v>
      </c>
      <c r="E1539" s="4">
        <f t="shared" si="2"/>
        <v>2500.833333</v>
      </c>
      <c r="F1539" s="4">
        <f t="shared" si="3"/>
        <v>833.6111111</v>
      </c>
      <c r="G1539" s="4">
        <f t="shared" si="4"/>
        <v>2501</v>
      </c>
      <c r="H1539" s="4" t="str">
        <f t="shared" si="5"/>
        <v>Binh thuong</v>
      </c>
    </row>
    <row r="1540" ht="14.25" customHeight="1">
      <c r="A1540" s="4" t="s">
        <v>1557</v>
      </c>
      <c r="B1540" s="4">
        <v>3978.0</v>
      </c>
      <c r="C1540" s="4" t="s">
        <v>886</v>
      </c>
      <c r="D1540" s="4" t="str">
        <f t="shared" si="1"/>
        <v>MA3</v>
      </c>
      <c r="E1540" s="4">
        <f t="shared" si="2"/>
        <v>331.5</v>
      </c>
      <c r="F1540" s="4">
        <f t="shared" si="3"/>
        <v>110.5</v>
      </c>
      <c r="G1540" s="4">
        <f t="shared" si="4"/>
        <v>332</v>
      </c>
      <c r="H1540" s="4" t="str">
        <f t="shared" si="5"/>
        <v>Binh thuong</v>
      </c>
    </row>
    <row r="1541" ht="14.25" customHeight="1">
      <c r="A1541" s="4" t="s">
        <v>1558</v>
      </c>
      <c r="B1541" s="4">
        <v>21720.0</v>
      </c>
      <c r="C1541" s="4" t="s">
        <v>886</v>
      </c>
      <c r="D1541" s="4" t="str">
        <f t="shared" si="1"/>
        <v>MA3</v>
      </c>
      <c r="E1541" s="4">
        <f t="shared" si="2"/>
        <v>1810</v>
      </c>
      <c r="F1541" s="4">
        <f t="shared" si="3"/>
        <v>603.3333333</v>
      </c>
      <c r="G1541" s="4">
        <f t="shared" si="4"/>
        <v>1810</v>
      </c>
      <c r="H1541" s="4" t="str">
        <f t="shared" si="5"/>
        <v>Binh thuong</v>
      </c>
    </row>
    <row r="1542" ht="14.25" customHeight="1">
      <c r="A1542" s="4" t="s">
        <v>1559</v>
      </c>
      <c r="B1542" s="4">
        <v>55118.0</v>
      </c>
      <c r="C1542" s="4" t="s">
        <v>886</v>
      </c>
      <c r="D1542" s="4" t="str">
        <f t="shared" si="1"/>
        <v>MA3</v>
      </c>
      <c r="E1542" s="4">
        <f t="shared" si="2"/>
        <v>4593.166667</v>
      </c>
      <c r="F1542" s="4">
        <f t="shared" si="3"/>
        <v>1531.055556</v>
      </c>
      <c r="G1542" s="4">
        <f t="shared" si="4"/>
        <v>4593</v>
      </c>
      <c r="H1542" s="4" t="str">
        <f t="shared" si="5"/>
        <v>Uu tien cao</v>
      </c>
    </row>
    <row r="1543" ht="14.25" customHeight="1">
      <c r="A1543" s="4" t="s">
        <v>1560</v>
      </c>
      <c r="B1543" s="4">
        <v>6388.0</v>
      </c>
      <c r="C1543" s="4" t="s">
        <v>886</v>
      </c>
      <c r="D1543" s="4" t="str">
        <f t="shared" si="1"/>
        <v>MA3</v>
      </c>
      <c r="E1543" s="4">
        <f t="shared" si="2"/>
        <v>532.3333333</v>
      </c>
      <c r="F1543" s="4">
        <f t="shared" si="3"/>
        <v>177.4444444</v>
      </c>
      <c r="G1543" s="4">
        <f t="shared" si="4"/>
        <v>532</v>
      </c>
      <c r="H1543" s="4" t="str">
        <f t="shared" si="5"/>
        <v>Binh thuong</v>
      </c>
    </row>
    <row r="1544" ht="14.25" customHeight="1">
      <c r="A1544" s="4" t="s">
        <v>1561</v>
      </c>
      <c r="B1544" s="4">
        <v>23233.0</v>
      </c>
      <c r="C1544" s="4" t="s">
        <v>886</v>
      </c>
      <c r="D1544" s="4" t="str">
        <f t="shared" si="1"/>
        <v>MA3</v>
      </c>
      <c r="E1544" s="4">
        <f t="shared" si="2"/>
        <v>1936.083333</v>
      </c>
      <c r="F1544" s="4">
        <f t="shared" si="3"/>
        <v>645.3611111</v>
      </c>
      <c r="G1544" s="4">
        <f t="shared" si="4"/>
        <v>1936</v>
      </c>
      <c r="H1544" s="4" t="str">
        <f t="shared" si="5"/>
        <v>Binh thuong</v>
      </c>
    </row>
    <row r="1545" ht="14.25" customHeight="1">
      <c r="A1545" s="4" t="s">
        <v>1562</v>
      </c>
      <c r="B1545" s="4">
        <v>167873.0</v>
      </c>
      <c r="C1545" s="4" t="s">
        <v>886</v>
      </c>
      <c r="D1545" s="4" t="str">
        <f t="shared" si="1"/>
        <v>MA3</v>
      </c>
      <c r="E1545" s="4">
        <f t="shared" si="2"/>
        <v>13989.41667</v>
      </c>
      <c r="F1545" s="4">
        <f t="shared" si="3"/>
        <v>4663.138889</v>
      </c>
      <c r="G1545" s="4">
        <f t="shared" si="4"/>
        <v>13989</v>
      </c>
      <c r="H1545" s="4" t="str">
        <f t="shared" si="5"/>
        <v>Uu tien cao</v>
      </c>
    </row>
    <row r="1546" ht="14.25" customHeight="1">
      <c r="A1546" s="4" t="s">
        <v>1563</v>
      </c>
      <c r="B1546" s="4">
        <v>6127.0</v>
      </c>
      <c r="C1546" s="4" t="s">
        <v>886</v>
      </c>
      <c r="D1546" s="4" t="str">
        <f t="shared" si="1"/>
        <v>MA3</v>
      </c>
      <c r="E1546" s="4">
        <f t="shared" si="2"/>
        <v>510.5833333</v>
      </c>
      <c r="F1546" s="4">
        <f t="shared" si="3"/>
        <v>170.1944444</v>
      </c>
      <c r="G1546" s="4">
        <f t="shared" si="4"/>
        <v>511</v>
      </c>
      <c r="H1546" s="4" t="str">
        <f t="shared" si="5"/>
        <v>Binh thuong</v>
      </c>
    </row>
    <row r="1547" ht="14.25" customHeight="1">
      <c r="A1547" s="4" t="s">
        <v>1564</v>
      </c>
      <c r="B1547" s="4">
        <v>15673.0</v>
      </c>
      <c r="C1547" s="4" t="s">
        <v>886</v>
      </c>
      <c r="D1547" s="4" t="str">
        <f t="shared" si="1"/>
        <v>MA3</v>
      </c>
      <c r="E1547" s="4">
        <f t="shared" si="2"/>
        <v>1306.083333</v>
      </c>
      <c r="F1547" s="4">
        <f t="shared" si="3"/>
        <v>435.3611111</v>
      </c>
      <c r="G1547" s="4">
        <f t="shared" si="4"/>
        <v>1306</v>
      </c>
      <c r="H1547" s="4" t="str">
        <f t="shared" si="5"/>
        <v>Binh thuong</v>
      </c>
    </row>
    <row r="1548" ht="14.25" customHeight="1">
      <c r="A1548" s="4" t="s">
        <v>1565</v>
      </c>
      <c r="B1548" s="4">
        <v>58907.0</v>
      </c>
      <c r="C1548" s="4" t="s">
        <v>886</v>
      </c>
      <c r="D1548" s="4" t="str">
        <f t="shared" si="1"/>
        <v>MA3</v>
      </c>
      <c r="E1548" s="4">
        <f t="shared" si="2"/>
        <v>4908.916667</v>
      </c>
      <c r="F1548" s="4">
        <f t="shared" si="3"/>
        <v>1636.305556</v>
      </c>
      <c r="G1548" s="4">
        <f t="shared" si="4"/>
        <v>4909</v>
      </c>
      <c r="H1548" s="4" t="str">
        <f t="shared" si="5"/>
        <v>Uu tien cao</v>
      </c>
    </row>
    <row r="1549" ht="14.25" customHeight="1">
      <c r="A1549" s="4" t="s">
        <v>1566</v>
      </c>
      <c r="B1549" s="4">
        <v>2774.0</v>
      </c>
      <c r="C1549" s="4" t="s">
        <v>886</v>
      </c>
      <c r="D1549" s="4" t="str">
        <f t="shared" si="1"/>
        <v>MA3</v>
      </c>
      <c r="E1549" s="4">
        <f t="shared" si="2"/>
        <v>231.1666667</v>
      </c>
      <c r="F1549" s="4">
        <f t="shared" si="3"/>
        <v>77.05555556</v>
      </c>
      <c r="G1549" s="4">
        <f t="shared" si="4"/>
        <v>231</v>
      </c>
      <c r="H1549" s="4" t="str">
        <f t="shared" si="5"/>
        <v>Binh thuong</v>
      </c>
    </row>
    <row r="1550" ht="14.25" customHeight="1">
      <c r="A1550" s="4" t="s">
        <v>1567</v>
      </c>
      <c r="B1550" s="4">
        <v>6875.0</v>
      </c>
      <c r="C1550" s="4" t="s">
        <v>886</v>
      </c>
      <c r="D1550" s="4" t="str">
        <f t="shared" si="1"/>
        <v>MA3</v>
      </c>
      <c r="E1550" s="4">
        <f t="shared" si="2"/>
        <v>572.9166667</v>
      </c>
      <c r="F1550" s="4">
        <f t="shared" si="3"/>
        <v>190.9722222</v>
      </c>
      <c r="G1550" s="4">
        <f t="shared" si="4"/>
        <v>573</v>
      </c>
      <c r="H1550" s="4" t="str">
        <f t="shared" si="5"/>
        <v>Binh thuong</v>
      </c>
    </row>
    <row r="1551" ht="14.25" customHeight="1">
      <c r="A1551" s="4" t="s">
        <v>1568</v>
      </c>
      <c r="B1551" s="4">
        <v>79447.0</v>
      </c>
      <c r="C1551" s="4" t="s">
        <v>886</v>
      </c>
      <c r="D1551" s="4" t="str">
        <f t="shared" si="1"/>
        <v>MA3</v>
      </c>
      <c r="E1551" s="4">
        <f t="shared" si="2"/>
        <v>6620.583333</v>
      </c>
      <c r="F1551" s="4">
        <f t="shared" si="3"/>
        <v>2206.861111</v>
      </c>
      <c r="G1551" s="4">
        <f t="shared" si="4"/>
        <v>6621</v>
      </c>
      <c r="H1551" s="4" t="str">
        <f t="shared" si="5"/>
        <v>Uu tien cao</v>
      </c>
    </row>
    <row r="1552" ht="14.25" customHeight="1">
      <c r="A1552" s="4" t="s">
        <v>1569</v>
      </c>
      <c r="B1552" s="4">
        <v>3779.0</v>
      </c>
      <c r="C1552" s="4" t="s">
        <v>886</v>
      </c>
      <c r="D1552" s="4" t="str">
        <f t="shared" si="1"/>
        <v>MA3</v>
      </c>
      <c r="E1552" s="4">
        <f t="shared" si="2"/>
        <v>314.9166667</v>
      </c>
      <c r="F1552" s="4">
        <f t="shared" si="3"/>
        <v>104.9722222</v>
      </c>
      <c r="G1552" s="4">
        <f t="shared" si="4"/>
        <v>315</v>
      </c>
      <c r="H1552" s="4" t="str">
        <f t="shared" si="5"/>
        <v>Binh thuong</v>
      </c>
    </row>
    <row r="1553" ht="14.25" customHeight="1">
      <c r="A1553" s="4" t="s">
        <v>1570</v>
      </c>
      <c r="B1553" s="4">
        <v>9173.0</v>
      </c>
      <c r="C1553" s="4" t="s">
        <v>886</v>
      </c>
      <c r="D1553" s="4" t="str">
        <f t="shared" si="1"/>
        <v>MA3</v>
      </c>
      <c r="E1553" s="4">
        <f t="shared" si="2"/>
        <v>764.4166667</v>
      </c>
      <c r="F1553" s="4">
        <f t="shared" si="3"/>
        <v>254.8055556</v>
      </c>
      <c r="G1553" s="4">
        <f t="shared" si="4"/>
        <v>764</v>
      </c>
      <c r="H1553" s="4" t="str">
        <f t="shared" si="5"/>
        <v>Binh thuong</v>
      </c>
    </row>
    <row r="1554" ht="14.25" customHeight="1">
      <c r="A1554" s="4" t="s">
        <v>1571</v>
      </c>
      <c r="B1554" s="4">
        <v>69723.0</v>
      </c>
      <c r="C1554" s="4" t="s">
        <v>886</v>
      </c>
      <c r="D1554" s="4" t="str">
        <f t="shared" si="1"/>
        <v>MA3</v>
      </c>
      <c r="E1554" s="4">
        <f t="shared" si="2"/>
        <v>5810.25</v>
      </c>
      <c r="F1554" s="4">
        <f t="shared" si="3"/>
        <v>1936.75</v>
      </c>
      <c r="G1554" s="4">
        <f t="shared" si="4"/>
        <v>5810</v>
      </c>
      <c r="H1554" s="4" t="str">
        <f t="shared" si="5"/>
        <v>Uu tien cao</v>
      </c>
    </row>
    <row r="1555" ht="14.25" customHeight="1">
      <c r="A1555" s="4" t="s">
        <v>1572</v>
      </c>
      <c r="B1555" s="4">
        <v>2748.0</v>
      </c>
      <c r="C1555" s="4" t="s">
        <v>886</v>
      </c>
      <c r="D1555" s="4" t="str">
        <f t="shared" si="1"/>
        <v>MA3</v>
      </c>
      <c r="E1555" s="4">
        <f t="shared" si="2"/>
        <v>229</v>
      </c>
      <c r="F1555" s="4">
        <f t="shared" si="3"/>
        <v>76.33333333</v>
      </c>
      <c r="G1555" s="4">
        <f t="shared" si="4"/>
        <v>229</v>
      </c>
      <c r="H1555" s="4" t="str">
        <f t="shared" si="5"/>
        <v>Binh thuong</v>
      </c>
    </row>
    <row r="1556" ht="14.25" customHeight="1">
      <c r="A1556" s="4" t="s">
        <v>1573</v>
      </c>
      <c r="B1556" s="4">
        <v>8034.0</v>
      </c>
      <c r="C1556" s="4" t="s">
        <v>886</v>
      </c>
      <c r="D1556" s="4" t="str">
        <f t="shared" si="1"/>
        <v>MA3</v>
      </c>
      <c r="E1556" s="4">
        <f t="shared" si="2"/>
        <v>669.5</v>
      </c>
      <c r="F1556" s="4">
        <f t="shared" si="3"/>
        <v>223.1666667</v>
      </c>
      <c r="G1556" s="4">
        <f t="shared" si="4"/>
        <v>670</v>
      </c>
      <c r="H1556" s="4" t="str">
        <f t="shared" si="5"/>
        <v>Binh thuong</v>
      </c>
    </row>
    <row r="1557" ht="14.25" customHeight="1">
      <c r="A1557" s="4" t="s">
        <v>1574</v>
      </c>
      <c r="B1557" s="4">
        <v>10022.0</v>
      </c>
      <c r="C1557" s="4" t="s">
        <v>886</v>
      </c>
      <c r="D1557" s="4" t="str">
        <f t="shared" si="1"/>
        <v>MA3</v>
      </c>
      <c r="E1557" s="4">
        <f t="shared" si="2"/>
        <v>835.1666667</v>
      </c>
      <c r="F1557" s="4">
        <f t="shared" si="3"/>
        <v>278.3888889</v>
      </c>
      <c r="G1557" s="4">
        <f t="shared" si="4"/>
        <v>835</v>
      </c>
      <c r="H1557" s="4" t="str">
        <f t="shared" si="5"/>
        <v>Binh thuong</v>
      </c>
    </row>
    <row r="1558" ht="14.25" customHeight="1">
      <c r="A1558" s="4" t="s">
        <v>1575</v>
      </c>
      <c r="B1558" s="4">
        <v>136125.0</v>
      </c>
      <c r="C1558" s="4" t="s">
        <v>886</v>
      </c>
      <c r="D1558" s="4" t="str">
        <f t="shared" si="1"/>
        <v>MA3</v>
      </c>
      <c r="E1558" s="4">
        <f t="shared" si="2"/>
        <v>11343.75</v>
      </c>
      <c r="F1558" s="4">
        <f t="shared" si="3"/>
        <v>3781.25</v>
      </c>
      <c r="G1558" s="4">
        <f t="shared" si="4"/>
        <v>11344</v>
      </c>
      <c r="H1558" s="4" t="str">
        <f t="shared" si="5"/>
        <v>Uu tien cao</v>
      </c>
    </row>
    <row r="1559" ht="14.25" customHeight="1">
      <c r="A1559" s="4" t="s">
        <v>1576</v>
      </c>
      <c r="B1559" s="4">
        <v>22097.0</v>
      </c>
      <c r="C1559" s="4" t="s">
        <v>886</v>
      </c>
      <c r="D1559" s="4" t="str">
        <f t="shared" si="1"/>
        <v>MA3</v>
      </c>
      <c r="E1559" s="4">
        <f t="shared" si="2"/>
        <v>1841.416667</v>
      </c>
      <c r="F1559" s="4">
        <f t="shared" si="3"/>
        <v>613.8055556</v>
      </c>
      <c r="G1559" s="4">
        <f t="shared" si="4"/>
        <v>1841</v>
      </c>
      <c r="H1559" s="4" t="str">
        <f t="shared" si="5"/>
        <v>Binh thuong</v>
      </c>
    </row>
    <row r="1560" ht="14.25" customHeight="1">
      <c r="A1560" s="4" t="s">
        <v>1577</v>
      </c>
      <c r="B1560" s="4">
        <v>74037.0</v>
      </c>
      <c r="C1560" s="4" t="s">
        <v>886</v>
      </c>
      <c r="D1560" s="4" t="str">
        <f t="shared" si="1"/>
        <v>MA3</v>
      </c>
      <c r="E1560" s="4">
        <f t="shared" si="2"/>
        <v>6169.75</v>
      </c>
      <c r="F1560" s="4">
        <f t="shared" si="3"/>
        <v>2056.583333</v>
      </c>
      <c r="G1560" s="4">
        <f t="shared" si="4"/>
        <v>6170</v>
      </c>
      <c r="H1560" s="4" t="str">
        <f t="shared" si="5"/>
        <v>Uu tien cao</v>
      </c>
    </row>
    <row r="1561" ht="14.25" customHeight="1">
      <c r="A1561" s="4" t="s">
        <v>1578</v>
      </c>
      <c r="B1561" s="4">
        <v>62663.0</v>
      </c>
      <c r="C1561" s="4" t="s">
        <v>886</v>
      </c>
      <c r="D1561" s="4" t="str">
        <f t="shared" si="1"/>
        <v>MA3</v>
      </c>
      <c r="E1561" s="4">
        <f t="shared" si="2"/>
        <v>5221.916667</v>
      </c>
      <c r="F1561" s="4">
        <f t="shared" si="3"/>
        <v>1740.638889</v>
      </c>
      <c r="G1561" s="4">
        <f t="shared" si="4"/>
        <v>5222</v>
      </c>
      <c r="H1561" s="4" t="str">
        <f t="shared" si="5"/>
        <v>Uu tien cao</v>
      </c>
    </row>
    <row r="1562" ht="14.25" customHeight="1">
      <c r="A1562" s="4" t="s">
        <v>1579</v>
      </c>
      <c r="B1562" s="4">
        <v>13108.0</v>
      </c>
      <c r="C1562" s="4" t="s">
        <v>886</v>
      </c>
      <c r="D1562" s="4" t="str">
        <f t="shared" si="1"/>
        <v>MA3</v>
      </c>
      <c r="E1562" s="4">
        <f t="shared" si="2"/>
        <v>1092.333333</v>
      </c>
      <c r="F1562" s="4">
        <f t="shared" si="3"/>
        <v>364.1111111</v>
      </c>
      <c r="G1562" s="4">
        <f t="shared" si="4"/>
        <v>1092</v>
      </c>
      <c r="H1562" s="4" t="str">
        <f t="shared" si="5"/>
        <v>Binh thuong</v>
      </c>
    </row>
    <row r="1563" ht="14.25" customHeight="1">
      <c r="A1563" s="4" t="s">
        <v>1580</v>
      </c>
      <c r="B1563" s="4">
        <v>59123.0</v>
      </c>
      <c r="C1563" s="4" t="s">
        <v>886</v>
      </c>
      <c r="D1563" s="4" t="str">
        <f t="shared" si="1"/>
        <v>MA3</v>
      </c>
      <c r="E1563" s="4">
        <f t="shared" si="2"/>
        <v>4926.916667</v>
      </c>
      <c r="F1563" s="4">
        <f t="shared" si="3"/>
        <v>1642.305556</v>
      </c>
      <c r="G1563" s="4">
        <f t="shared" si="4"/>
        <v>4927</v>
      </c>
      <c r="H1563" s="4" t="str">
        <f t="shared" si="5"/>
        <v>Uu tien cao</v>
      </c>
    </row>
    <row r="1564" ht="14.25" customHeight="1">
      <c r="A1564" s="4" t="s">
        <v>1581</v>
      </c>
      <c r="B1564" s="4">
        <v>42016.0</v>
      </c>
      <c r="C1564" s="4" t="s">
        <v>886</v>
      </c>
      <c r="D1564" s="4" t="str">
        <f t="shared" si="1"/>
        <v>MA3</v>
      </c>
      <c r="E1564" s="4">
        <f t="shared" si="2"/>
        <v>3501.333333</v>
      </c>
      <c r="F1564" s="4">
        <f t="shared" si="3"/>
        <v>1167.111111</v>
      </c>
      <c r="G1564" s="4">
        <f t="shared" si="4"/>
        <v>3501</v>
      </c>
      <c r="H1564" s="4" t="str">
        <f t="shared" si="5"/>
        <v>Uu tien cao</v>
      </c>
    </row>
    <row r="1565" ht="14.25" customHeight="1">
      <c r="A1565" s="4" t="s">
        <v>1582</v>
      </c>
      <c r="B1565" s="4">
        <v>6839.0</v>
      </c>
      <c r="C1565" s="4" t="s">
        <v>886</v>
      </c>
      <c r="D1565" s="4" t="str">
        <f t="shared" si="1"/>
        <v>MA3</v>
      </c>
      <c r="E1565" s="4">
        <f t="shared" si="2"/>
        <v>569.9166667</v>
      </c>
      <c r="F1565" s="4">
        <f t="shared" si="3"/>
        <v>189.9722222</v>
      </c>
      <c r="G1565" s="4">
        <f t="shared" si="4"/>
        <v>570</v>
      </c>
      <c r="H1565" s="4" t="str">
        <f t="shared" si="5"/>
        <v>Binh thuong</v>
      </c>
    </row>
    <row r="1566" ht="14.25" customHeight="1">
      <c r="A1566" s="4" t="s">
        <v>1583</v>
      </c>
      <c r="B1566" s="4">
        <v>44601.0</v>
      </c>
      <c r="C1566" s="4" t="s">
        <v>886</v>
      </c>
      <c r="D1566" s="4" t="str">
        <f t="shared" si="1"/>
        <v>MA3</v>
      </c>
      <c r="E1566" s="4">
        <f t="shared" si="2"/>
        <v>3716.75</v>
      </c>
      <c r="F1566" s="4">
        <f t="shared" si="3"/>
        <v>1238.916667</v>
      </c>
      <c r="G1566" s="4">
        <f t="shared" si="4"/>
        <v>3717</v>
      </c>
      <c r="H1566" s="4" t="str">
        <f t="shared" si="5"/>
        <v>Uu tien cao</v>
      </c>
    </row>
    <row r="1567" ht="14.25" customHeight="1">
      <c r="A1567" s="4" t="s">
        <v>1584</v>
      </c>
      <c r="B1567" s="4">
        <v>82707.0</v>
      </c>
      <c r="C1567" s="4" t="s">
        <v>886</v>
      </c>
      <c r="D1567" s="4" t="str">
        <f t="shared" si="1"/>
        <v>MA3</v>
      </c>
      <c r="E1567" s="4">
        <f t="shared" si="2"/>
        <v>6892.25</v>
      </c>
      <c r="F1567" s="4">
        <f t="shared" si="3"/>
        <v>2297.416667</v>
      </c>
      <c r="G1567" s="4">
        <f t="shared" si="4"/>
        <v>6892</v>
      </c>
      <c r="H1567" s="4" t="str">
        <f t="shared" si="5"/>
        <v>Uu tien cao</v>
      </c>
    </row>
    <row r="1568" ht="14.25" customHeight="1">
      <c r="A1568" s="4" t="s">
        <v>1585</v>
      </c>
      <c r="B1568" s="4">
        <v>12488.0</v>
      </c>
      <c r="C1568" s="4" t="s">
        <v>886</v>
      </c>
      <c r="D1568" s="4" t="str">
        <f t="shared" si="1"/>
        <v>MA3</v>
      </c>
      <c r="E1568" s="4">
        <f t="shared" si="2"/>
        <v>1040.666667</v>
      </c>
      <c r="F1568" s="4">
        <f t="shared" si="3"/>
        <v>346.8888889</v>
      </c>
      <c r="G1568" s="4">
        <f t="shared" si="4"/>
        <v>1041</v>
      </c>
      <c r="H1568" s="4" t="str">
        <f t="shared" si="5"/>
        <v>Binh thuong</v>
      </c>
    </row>
    <row r="1569" ht="14.25" customHeight="1">
      <c r="A1569" s="4" t="s">
        <v>1586</v>
      </c>
      <c r="B1569" s="4">
        <v>58148.0</v>
      </c>
      <c r="C1569" s="4" t="s">
        <v>886</v>
      </c>
      <c r="D1569" s="4" t="str">
        <f t="shared" si="1"/>
        <v>MA3</v>
      </c>
      <c r="E1569" s="4">
        <f t="shared" si="2"/>
        <v>4845.666667</v>
      </c>
      <c r="F1569" s="4">
        <f t="shared" si="3"/>
        <v>1615.222222</v>
      </c>
      <c r="G1569" s="4">
        <f t="shared" si="4"/>
        <v>4846</v>
      </c>
      <c r="H1569" s="4" t="str">
        <f t="shared" si="5"/>
        <v>Uu tien cao</v>
      </c>
    </row>
    <row r="1570" ht="14.25" customHeight="1">
      <c r="A1570" s="4" t="s">
        <v>1587</v>
      </c>
      <c r="B1570" s="4">
        <v>63441.0</v>
      </c>
      <c r="C1570" s="4" t="s">
        <v>886</v>
      </c>
      <c r="D1570" s="4" t="str">
        <f t="shared" si="1"/>
        <v>MA3</v>
      </c>
      <c r="E1570" s="4">
        <f t="shared" si="2"/>
        <v>5286.75</v>
      </c>
      <c r="F1570" s="4">
        <f t="shared" si="3"/>
        <v>1762.25</v>
      </c>
      <c r="G1570" s="4">
        <f t="shared" si="4"/>
        <v>5287</v>
      </c>
      <c r="H1570" s="4" t="str">
        <f t="shared" si="5"/>
        <v>Uu tien cao</v>
      </c>
    </row>
    <row r="1571" ht="14.25" customHeight="1">
      <c r="A1571" s="4" t="s">
        <v>1588</v>
      </c>
      <c r="B1571" s="4">
        <v>11082.0</v>
      </c>
      <c r="C1571" s="4" t="s">
        <v>886</v>
      </c>
      <c r="D1571" s="4" t="str">
        <f t="shared" si="1"/>
        <v>MA3</v>
      </c>
      <c r="E1571" s="4">
        <f t="shared" si="2"/>
        <v>923.5</v>
      </c>
      <c r="F1571" s="4">
        <f t="shared" si="3"/>
        <v>307.8333333</v>
      </c>
      <c r="G1571" s="4">
        <f t="shared" si="4"/>
        <v>924</v>
      </c>
      <c r="H1571" s="4" t="str">
        <f t="shared" si="5"/>
        <v>Binh thuong</v>
      </c>
    </row>
    <row r="1572" ht="14.25" customHeight="1">
      <c r="A1572" s="4" t="s">
        <v>1589</v>
      </c>
      <c r="B1572" s="4">
        <v>68456.0</v>
      </c>
      <c r="C1572" s="4" t="s">
        <v>886</v>
      </c>
      <c r="D1572" s="4" t="str">
        <f t="shared" si="1"/>
        <v>MA3</v>
      </c>
      <c r="E1572" s="4">
        <f t="shared" si="2"/>
        <v>5704.666667</v>
      </c>
      <c r="F1572" s="4">
        <f t="shared" si="3"/>
        <v>1901.555556</v>
      </c>
      <c r="G1572" s="4">
        <f t="shared" si="4"/>
        <v>5705</v>
      </c>
      <c r="H1572" s="4" t="str">
        <f t="shared" si="5"/>
        <v>Uu tien cao</v>
      </c>
    </row>
    <row r="1573" ht="14.25" customHeight="1">
      <c r="A1573" s="4" t="s">
        <v>1590</v>
      </c>
      <c r="B1573" s="4">
        <v>26939.0</v>
      </c>
      <c r="C1573" s="4" t="s">
        <v>886</v>
      </c>
      <c r="D1573" s="4" t="str">
        <f t="shared" si="1"/>
        <v>MA3</v>
      </c>
      <c r="E1573" s="4">
        <f t="shared" si="2"/>
        <v>2244.916667</v>
      </c>
      <c r="F1573" s="4">
        <f t="shared" si="3"/>
        <v>748.3055556</v>
      </c>
      <c r="G1573" s="4">
        <f t="shared" si="4"/>
        <v>2245</v>
      </c>
      <c r="H1573" s="4" t="str">
        <f t="shared" si="5"/>
        <v>Binh thuong</v>
      </c>
    </row>
    <row r="1574" ht="14.25" customHeight="1">
      <c r="A1574" s="4" t="s">
        <v>1591</v>
      </c>
      <c r="B1574" s="4">
        <v>42973.0</v>
      </c>
      <c r="C1574" s="4" t="s">
        <v>886</v>
      </c>
      <c r="D1574" s="4" t="str">
        <f t="shared" si="1"/>
        <v>MA3</v>
      </c>
      <c r="E1574" s="4">
        <f t="shared" si="2"/>
        <v>3581.083333</v>
      </c>
      <c r="F1574" s="4">
        <f t="shared" si="3"/>
        <v>1193.694444</v>
      </c>
      <c r="G1574" s="4">
        <f t="shared" si="4"/>
        <v>3581</v>
      </c>
      <c r="H1574" s="4" t="str">
        <f t="shared" si="5"/>
        <v>Uu tien cao</v>
      </c>
    </row>
    <row r="1575" ht="14.25" customHeight="1">
      <c r="A1575" s="4" t="s">
        <v>1592</v>
      </c>
      <c r="B1575" s="4">
        <v>64312.0</v>
      </c>
      <c r="C1575" s="4" t="s">
        <v>886</v>
      </c>
      <c r="D1575" s="4" t="str">
        <f t="shared" si="1"/>
        <v>MA3</v>
      </c>
      <c r="E1575" s="4">
        <f t="shared" si="2"/>
        <v>5359.333333</v>
      </c>
      <c r="F1575" s="4">
        <f t="shared" si="3"/>
        <v>1786.444444</v>
      </c>
      <c r="G1575" s="4">
        <f t="shared" si="4"/>
        <v>5359</v>
      </c>
      <c r="H1575" s="4" t="str">
        <f t="shared" si="5"/>
        <v>Uu tien cao</v>
      </c>
    </row>
    <row r="1576" ht="14.25" customHeight="1">
      <c r="A1576" s="4" t="s">
        <v>1593</v>
      </c>
      <c r="B1576" s="4">
        <v>45758.0</v>
      </c>
      <c r="C1576" s="4" t="s">
        <v>886</v>
      </c>
      <c r="D1576" s="4" t="str">
        <f t="shared" si="1"/>
        <v>MA3</v>
      </c>
      <c r="E1576" s="4">
        <f t="shared" si="2"/>
        <v>3813.166667</v>
      </c>
      <c r="F1576" s="4">
        <f t="shared" si="3"/>
        <v>1271.055556</v>
      </c>
      <c r="G1576" s="4">
        <f t="shared" si="4"/>
        <v>3813</v>
      </c>
      <c r="H1576" s="4" t="str">
        <f t="shared" si="5"/>
        <v>Uu tien cao</v>
      </c>
    </row>
    <row r="1577" ht="14.25" customHeight="1">
      <c r="A1577" s="4" t="s">
        <v>1594</v>
      </c>
      <c r="B1577" s="4">
        <v>139690.0</v>
      </c>
      <c r="C1577" s="4" t="s">
        <v>886</v>
      </c>
      <c r="D1577" s="4" t="str">
        <f t="shared" si="1"/>
        <v>MA3</v>
      </c>
      <c r="E1577" s="4">
        <f t="shared" si="2"/>
        <v>11640.83333</v>
      </c>
      <c r="F1577" s="4">
        <f t="shared" si="3"/>
        <v>3880.277778</v>
      </c>
      <c r="G1577" s="4">
        <f t="shared" si="4"/>
        <v>11641</v>
      </c>
      <c r="H1577" s="4" t="str">
        <f t="shared" si="5"/>
        <v>Uu tien cao</v>
      </c>
    </row>
    <row r="1578" ht="14.25" customHeight="1">
      <c r="A1578" s="4" t="s">
        <v>1595</v>
      </c>
      <c r="B1578" s="4">
        <v>49587.0</v>
      </c>
      <c r="C1578" s="4" t="s">
        <v>886</v>
      </c>
      <c r="D1578" s="4" t="str">
        <f t="shared" si="1"/>
        <v>MA3</v>
      </c>
      <c r="E1578" s="4">
        <f t="shared" si="2"/>
        <v>4132.25</v>
      </c>
      <c r="F1578" s="4">
        <f t="shared" si="3"/>
        <v>1377.416667</v>
      </c>
      <c r="G1578" s="4">
        <f t="shared" si="4"/>
        <v>4132</v>
      </c>
      <c r="H1578" s="4" t="str">
        <f t="shared" si="5"/>
        <v>Uu tien cao</v>
      </c>
    </row>
    <row r="1579" ht="14.25" customHeight="1">
      <c r="A1579" s="4" t="s">
        <v>1596</v>
      </c>
      <c r="B1579" s="4">
        <v>19240.0</v>
      </c>
      <c r="C1579" s="4" t="s">
        <v>886</v>
      </c>
      <c r="D1579" s="4" t="str">
        <f t="shared" si="1"/>
        <v>MA3</v>
      </c>
      <c r="E1579" s="4">
        <f t="shared" si="2"/>
        <v>1603.333333</v>
      </c>
      <c r="F1579" s="4">
        <f t="shared" si="3"/>
        <v>534.4444444</v>
      </c>
      <c r="G1579" s="4">
        <f t="shared" si="4"/>
        <v>1603</v>
      </c>
      <c r="H1579" s="4" t="str">
        <f t="shared" si="5"/>
        <v>Binh thuong</v>
      </c>
    </row>
    <row r="1580" ht="14.25" customHeight="1">
      <c r="A1580" s="4" t="s">
        <v>1597</v>
      </c>
      <c r="B1580" s="4">
        <v>46920.0</v>
      </c>
      <c r="C1580" s="4" t="s">
        <v>886</v>
      </c>
      <c r="D1580" s="4" t="str">
        <f t="shared" si="1"/>
        <v>MA3</v>
      </c>
      <c r="E1580" s="4">
        <f t="shared" si="2"/>
        <v>3910</v>
      </c>
      <c r="F1580" s="4">
        <f t="shared" si="3"/>
        <v>1303.333333</v>
      </c>
      <c r="G1580" s="4">
        <f t="shared" si="4"/>
        <v>3910</v>
      </c>
      <c r="H1580" s="4" t="str">
        <f t="shared" si="5"/>
        <v>Uu tien cao</v>
      </c>
    </row>
    <row r="1581" ht="14.25" customHeight="1">
      <c r="A1581" s="4" t="s">
        <v>1598</v>
      </c>
      <c r="B1581" s="4">
        <v>105825.0</v>
      </c>
      <c r="C1581" s="4" t="s">
        <v>886</v>
      </c>
      <c r="D1581" s="4" t="str">
        <f t="shared" si="1"/>
        <v>MA3</v>
      </c>
      <c r="E1581" s="4">
        <f t="shared" si="2"/>
        <v>8818.75</v>
      </c>
      <c r="F1581" s="4">
        <f t="shared" si="3"/>
        <v>2939.583333</v>
      </c>
      <c r="G1581" s="4">
        <f t="shared" si="4"/>
        <v>8819</v>
      </c>
      <c r="H1581" s="4" t="str">
        <f t="shared" si="5"/>
        <v>Uu tien cao</v>
      </c>
    </row>
    <row r="1582" ht="14.25" customHeight="1">
      <c r="A1582" s="4" t="s">
        <v>1599</v>
      </c>
      <c r="B1582" s="4">
        <v>63784.0</v>
      </c>
      <c r="C1582" s="4" t="s">
        <v>886</v>
      </c>
      <c r="D1582" s="4" t="str">
        <f t="shared" si="1"/>
        <v>MA3</v>
      </c>
      <c r="E1582" s="4">
        <f t="shared" si="2"/>
        <v>5315.333333</v>
      </c>
      <c r="F1582" s="4">
        <f t="shared" si="3"/>
        <v>1771.777778</v>
      </c>
      <c r="G1582" s="4">
        <f t="shared" si="4"/>
        <v>5315</v>
      </c>
      <c r="H1582" s="4" t="str">
        <f t="shared" si="5"/>
        <v>Uu tien cao</v>
      </c>
    </row>
    <row r="1583" ht="14.25" customHeight="1">
      <c r="A1583" s="4" t="s">
        <v>1600</v>
      </c>
      <c r="B1583" s="4">
        <v>91446.0</v>
      </c>
      <c r="C1583" s="4" t="s">
        <v>886</v>
      </c>
      <c r="D1583" s="4" t="str">
        <f t="shared" si="1"/>
        <v>MA3</v>
      </c>
      <c r="E1583" s="4">
        <f t="shared" si="2"/>
        <v>7620.5</v>
      </c>
      <c r="F1583" s="4">
        <f t="shared" si="3"/>
        <v>2540.166667</v>
      </c>
      <c r="G1583" s="4">
        <f t="shared" si="4"/>
        <v>7621</v>
      </c>
      <c r="H1583" s="4" t="str">
        <f t="shared" si="5"/>
        <v>Uu tien cao</v>
      </c>
    </row>
    <row r="1584" ht="14.25" customHeight="1">
      <c r="A1584" s="4" t="s">
        <v>1601</v>
      </c>
      <c r="B1584" s="4">
        <v>49371.0</v>
      </c>
      <c r="C1584" s="4" t="s">
        <v>886</v>
      </c>
      <c r="D1584" s="4" t="str">
        <f t="shared" si="1"/>
        <v>MA3</v>
      </c>
      <c r="E1584" s="4">
        <f t="shared" si="2"/>
        <v>4114.25</v>
      </c>
      <c r="F1584" s="4">
        <f t="shared" si="3"/>
        <v>1371.416667</v>
      </c>
      <c r="G1584" s="4">
        <f t="shared" si="4"/>
        <v>4114</v>
      </c>
      <c r="H1584" s="4" t="str">
        <f t="shared" si="5"/>
        <v>Uu tien cao</v>
      </c>
    </row>
    <row r="1585" ht="14.25" customHeight="1">
      <c r="A1585" s="4" t="s">
        <v>1602</v>
      </c>
      <c r="B1585" s="4">
        <v>81187.0</v>
      </c>
      <c r="C1585" s="4" t="s">
        <v>886</v>
      </c>
      <c r="D1585" s="4" t="str">
        <f t="shared" si="1"/>
        <v>MA3</v>
      </c>
      <c r="E1585" s="4">
        <f t="shared" si="2"/>
        <v>6765.583333</v>
      </c>
      <c r="F1585" s="4">
        <f t="shared" si="3"/>
        <v>2255.194444</v>
      </c>
      <c r="G1585" s="4">
        <f t="shared" si="4"/>
        <v>6766</v>
      </c>
      <c r="H1585" s="4" t="str">
        <f t="shared" si="5"/>
        <v>Uu tien cao</v>
      </c>
    </row>
    <row r="1586" ht="14.25" customHeight="1">
      <c r="A1586" s="4" t="s">
        <v>1603</v>
      </c>
      <c r="B1586" s="4">
        <v>4165.0</v>
      </c>
      <c r="C1586" s="4" t="s">
        <v>886</v>
      </c>
      <c r="D1586" s="4" t="str">
        <f t="shared" si="1"/>
        <v>MA3</v>
      </c>
      <c r="E1586" s="4">
        <f t="shared" si="2"/>
        <v>347.0833333</v>
      </c>
      <c r="F1586" s="4">
        <f t="shared" si="3"/>
        <v>115.6944444</v>
      </c>
      <c r="G1586" s="4">
        <f t="shared" si="4"/>
        <v>347</v>
      </c>
      <c r="H1586" s="4" t="str">
        <f t="shared" si="5"/>
        <v>Binh thuong</v>
      </c>
    </row>
    <row r="1587" ht="14.25" customHeight="1">
      <c r="A1587" s="4" t="s">
        <v>1604</v>
      </c>
      <c r="B1587" s="4">
        <v>14270.0</v>
      </c>
      <c r="C1587" s="4" t="s">
        <v>886</v>
      </c>
      <c r="D1587" s="4" t="str">
        <f t="shared" si="1"/>
        <v>MA3</v>
      </c>
      <c r="E1587" s="4">
        <f t="shared" si="2"/>
        <v>1189.166667</v>
      </c>
      <c r="F1587" s="4">
        <f t="shared" si="3"/>
        <v>396.3888889</v>
      </c>
      <c r="G1587" s="4">
        <f t="shared" si="4"/>
        <v>1189</v>
      </c>
      <c r="H1587" s="4" t="str">
        <f t="shared" si="5"/>
        <v>Binh thuong</v>
      </c>
    </row>
    <row r="1588" ht="14.25" customHeight="1">
      <c r="A1588" s="4" t="s">
        <v>1605</v>
      </c>
      <c r="B1588" s="4">
        <v>173635.0</v>
      </c>
      <c r="C1588" s="4" t="s">
        <v>886</v>
      </c>
      <c r="D1588" s="4" t="str">
        <f t="shared" si="1"/>
        <v>MA3</v>
      </c>
      <c r="E1588" s="4">
        <f t="shared" si="2"/>
        <v>14469.58333</v>
      </c>
      <c r="F1588" s="4">
        <f t="shared" si="3"/>
        <v>4823.194444</v>
      </c>
      <c r="G1588" s="4">
        <f t="shared" si="4"/>
        <v>14470</v>
      </c>
      <c r="H1588" s="4" t="str">
        <f t="shared" si="5"/>
        <v>Uu tien cao</v>
      </c>
    </row>
    <row r="1589" ht="14.25" customHeight="1">
      <c r="A1589" s="4" t="s">
        <v>1606</v>
      </c>
      <c r="B1589" s="4">
        <v>5326.0</v>
      </c>
      <c r="C1589" s="4" t="s">
        <v>886</v>
      </c>
      <c r="D1589" s="4" t="str">
        <f t="shared" si="1"/>
        <v>MA3</v>
      </c>
      <c r="E1589" s="4">
        <f t="shared" si="2"/>
        <v>443.8333333</v>
      </c>
      <c r="F1589" s="4">
        <f t="shared" si="3"/>
        <v>147.9444444</v>
      </c>
      <c r="G1589" s="4">
        <f t="shared" si="4"/>
        <v>444</v>
      </c>
      <c r="H1589" s="4" t="str">
        <f t="shared" si="5"/>
        <v>Binh thuong</v>
      </c>
    </row>
    <row r="1590" ht="14.25" customHeight="1">
      <c r="A1590" s="4" t="s">
        <v>1607</v>
      </c>
      <c r="B1590" s="4">
        <v>32108.0</v>
      </c>
      <c r="C1590" s="4" t="s">
        <v>886</v>
      </c>
      <c r="D1590" s="4" t="str">
        <f t="shared" si="1"/>
        <v>MA3</v>
      </c>
      <c r="E1590" s="4">
        <f t="shared" si="2"/>
        <v>2675.666667</v>
      </c>
      <c r="F1590" s="4">
        <f t="shared" si="3"/>
        <v>891.8888889</v>
      </c>
      <c r="G1590" s="4">
        <f t="shared" si="4"/>
        <v>2676</v>
      </c>
      <c r="H1590" s="4" t="str">
        <f t="shared" si="5"/>
        <v>Binh thuong</v>
      </c>
    </row>
    <row r="1591" ht="14.25" customHeight="1">
      <c r="A1591" s="4" t="s">
        <v>1608</v>
      </c>
      <c r="B1591" s="4">
        <v>69058.0</v>
      </c>
      <c r="C1591" s="4" t="s">
        <v>886</v>
      </c>
      <c r="D1591" s="4" t="str">
        <f t="shared" si="1"/>
        <v>MA3</v>
      </c>
      <c r="E1591" s="4">
        <f t="shared" si="2"/>
        <v>5754.833333</v>
      </c>
      <c r="F1591" s="4">
        <f t="shared" si="3"/>
        <v>1918.277778</v>
      </c>
      <c r="G1591" s="4">
        <f t="shared" si="4"/>
        <v>5755</v>
      </c>
      <c r="H1591" s="4" t="str">
        <f t="shared" si="5"/>
        <v>Uu tien cao</v>
      </c>
    </row>
    <row r="1592" ht="14.25" customHeight="1">
      <c r="A1592" s="4" t="s">
        <v>1609</v>
      </c>
      <c r="B1592" s="4">
        <v>3389.0</v>
      </c>
      <c r="C1592" s="4" t="s">
        <v>886</v>
      </c>
      <c r="D1592" s="4" t="str">
        <f t="shared" si="1"/>
        <v>MA3</v>
      </c>
      <c r="E1592" s="4">
        <f t="shared" si="2"/>
        <v>282.4166667</v>
      </c>
      <c r="F1592" s="4">
        <f t="shared" si="3"/>
        <v>94.13888889</v>
      </c>
      <c r="G1592" s="4">
        <f t="shared" si="4"/>
        <v>282</v>
      </c>
      <c r="H1592" s="4" t="str">
        <f t="shared" si="5"/>
        <v>Binh thuong</v>
      </c>
    </row>
    <row r="1593" ht="14.25" customHeight="1">
      <c r="A1593" s="4" t="s">
        <v>1610</v>
      </c>
      <c r="B1593" s="4">
        <v>13056.0</v>
      </c>
      <c r="C1593" s="4" t="s">
        <v>886</v>
      </c>
      <c r="D1593" s="4" t="str">
        <f t="shared" si="1"/>
        <v>MA3</v>
      </c>
      <c r="E1593" s="4">
        <f t="shared" si="2"/>
        <v>1088</v>
      </c>
      <c r="F1593" s="4">
        <f t="shared" si="3"/>
        <v>362.6666667</v>
      </c>
      <c r="G1593" s="4">
        <f t="shared" si="4"/>
        <v>1088</v>
      </c>
      <c r="H1593" s="4" t="str">
        <f t="shared" si="5"/>
        <v>Binh thuong</v>
      </c>
    </row>
    <row r="1594" ht="14.25" customHeight="1">
      <c r="A1594" s="4" t="s">
        <v>1611</v>
      </c>
      <c r="B1594" s="4">
        <v>88976.0</v>
      </c>
      <c r="C1594" s="4" t="s">
        <v>886</v>
      </c>
      <c r="D1594" s="4" t="str">
        <f t="shared" si="1"/>
        <v>MA3</v>
      </c>
      <c r="E1594" s="4">
        <f t="shared" si="2"/>
        <v>7414.666667</v>
      </c>
      <c r="F1594" s="4">
        <f t="shared" si="3"/>
        <v>2471.555556</v>
      </c>
      <c r="G1594" s="4">
        <f t="shared" si="4"/>
        <v>7415</v>
      </c>
      <c r="H1594" s="4" t="str">
        <f t="shared" si="5"/>
        <v>Uu tien cao</v>
      </c>
    </row>
    <row r="1595" ht="14.25" customHeight="1">
      <c r="A1595" s="4" t="s">
        <v>1612</v>
      </c>
      <c r="B1595" s="4">
        <v>3469.0</v>
      </c>
      <c r="C1595" s="4" t="s">
        <v>886</v>
      </c>
      <c r="D1595" s="4" t="str">
        <f t="shared" si="1"/>
        <v>MA3</v>
      </c>
      <c r="E1595" s="4">
        <f t="shared" si="2"/>
        <v>289.0833333</v>
      </c>
      <c r="F1595" s="4">
        <f t="shared" si="3"/>
        <v>96.36111111</v>
      </c>
      <c r="G1595" s="4">
        <f t="shared" si="4"/>
        <v>289</v>
      </c>
      <c r="H1595" s="4" t="str">
        <f t="shared" si="5"/>
        <v>Binh thuong</v>
      </c>
    </row>
    <row r="1596" ht="14.25" customHeight="1">
      <c r="A1596" s="4" t="s">
        <v>1613</v>
      </c>
      <c r="B1596" s="4">
        <v>12045.0</v>
      </c>
      <c r="C1596" s="4" t="s">
        <v>886</v>
      </c>
      <c r="D1596" s="4" t="str">
        <f t="shared" si="1"/>
        <v>MA3</v>
      </c>
      <c r="E1596" s="4">
        <f t="shared" si="2"/>
        <v>1003.75</v>
      </c>
      <c r="F1596" s="4">
        <f t="shared" si="3"/>
        <v>334.5833333</v>
      </c>
      <c r="G1596" s="4">
        <f t="shared" si="4"/>
        <v>1004</v>
      </c>
      <c r="H1596" s="4" t="str">
        <f t="shared" si="5"/>
        <v>Binh thuong</v>
      </c>
    </row>
    <row r="1597" ht="14.25" customHeight="1">
      <c r="A1597" s="4" t="s">
        <v>1614</v>
      </c>
      <c r="B1597" s="4">
        <v>78094.0</v>
      </c>
      <c r="C1597" s="4" t="s">
        <v>886</v>
      </c>
      <c r="D1597" s="4" t="str">
        <f t="shared" si="1"/>
        <v>MA3</v>
      </c>
      <c r="E1597" s="4">
        <f t="shared" si="2"/>
        <v>6507.833333</v>
      </c>
      <c r="F1597" s="4">
        <f t="shared" si="3"/>
        <v>2169.277778</v>
      </c>
      <c r="G1597" s="4">
        <f t="shared" si="4"/>
        <v>6508</v>
      </c>
      <c r="H1597" s="4" t="str">
        <f t="shared" si="5"/>
        <v>Uu tien cao</v>
      </c>
    </row>
    <row r="1598" ht="14.25" customHeight="1">
      <c r="A1598" s="4" t="s">
        <v>1615</v>
      </c>
      <c r="B1598" s="4">
        <v>2010.0</v>
      </c>
      <c r="C1598" s="4" t="s">
        <v>886</v>
      </c>
      <c r="D1598" s="4" t="str">
        <f t="shared" si="1"/>
        <v>MA3</v>
      </c>
      <c r="E1598" s="4">
        <f t="shared" si="2"/>
        <v>167.5</v>
      </c>
      <c r="F1598" s="4">
        <f t="shared" si="3"/>
        <v>55.83333333</v>
      </c>
      <c r="G1598" s="4">
        <f t="shared" si="4"/>
        <v>168</v>
      </c>
      <c r="H1598" s="4" t="str">
        <f t="shared" si="5"/>
        <v>Binh thuong</v>
      </c>
    </row>
    <row r="1599" ht="14.25" customHeight="1">
      <c r="A1599" s="4" t="s">
        <v>1616</v>
      </c>
      <c r="B1599" s="4">
        <v>11181.0</v>
      </c>
      <c r="C1599" s="4" t="s">
        <v>886</v>
      </c>
      <c r="D1599" s="4" t="str">
        <f t="shared" si="1"/>
        <v>MA3</v>
      </c>
      <c r="E1599" s="4">
        <f t="shared" si="2"/>
        <v>931.75</v>
      </c>
      <c r="F1599" s="4">
        <f t="shared" si="3"/>
        <v>310.5833333</v>
      </c>
      <c r="G1599" s="4">
        <f t="shared" si="4"/>
        <v>932</v>
      </c>
      <c r="H1599" s="4" t="str">
        <f t="shared" si="5"/>
        <v>Binh thuong</v>
      </c>
    </row>
    <row r="1600" ht="14.25" customHeight="1">
      <c r="A1600" s="4" t="s">
        <v>1617</v>
      </c>
      <c r="B1600" s="4">
        <v>72004.0</v>
      </c>
      <c r="C1600" s="4" t="s">
        <v>886</v>
      </c>
      <c r="D1600" s="4" t="str">
        <f t="shared" si="1"/>
        <v>MA3</v>
      </c>
      <c r="E1600" s="4">
        <f t="shared" si="2"/>
        <v>6000.333333</v>
      </c>
      <c r="F1600" s="4">
        <f t="shared" si="3"/>
        <v>2000.111111</v>
      </c>
      <c r="G1600" s="4">
        <f t="shared" si="4"/>
        <v>6000</v>
      </c>
      <c r="H1600" s="4" t="str">
        <f t="shared" si="5"/>
        <v>Uu tien cao</v>
      </c>
    </row>
    <row r="1601" ht="14.25" customHeight="1">
      <c r="A1601" s="4" t="s">
        <v>1618</v>
      </c>
      <c r="B1601" s="4">
        <v>3879.0</v>
      </c>
      <c r="C1601" s="4" t="s">
        <v>886</v>
      </c>
      <c r="D1601" s="4" t="str">
        <f t="shared" si="1"/>
        <v>MA3</v>
      </c>
      <c r="E1601" s="4">
        <f t="shared" si="2"/>
        <v>323.25</v>
      </c>
      <c r="F1601" s="4">
        <f t="shared" si="3"/>
        <v>107.75</v>
      </c>
      <c r="G1601" s="4">
        <f t="shared" si="4"/>
        <v>323</v>
      </c>
      <c r="H1601" s="4" t="str">
        <f t="shared" si="5"/>
        <v>Binh thuong</v>
      </c>
    </row>
    <row r="1602" ht="14.25" customHeight="1">
      <c r="A1602" s="4" t="s">
        <v>1619</v>
      </c>
      <c r="B1602" s="4">
        <v>14181.0</v>
      </c>
      <c r="C1602" s="4" t="s">
        <v>886</v>
      </c>
      <c r="D1602" s="4" t="str">
        <f t="shared" si="1"/>
        <v>MA3</v>
      </c>
      <c r="E1602" s="4">
        <f t="shared" si="2"/>
        <v>1181.75</v>
      </c>
      <c r="F1602" s="4">
        <f t="shared" si="3"/>
        <v>393.9166667</v>
      </c>
      <c r="G1602" s="4">
        <f t="shared" si="4"/>
        <v>1182</v>
      </c>
      <c r="H1602" s="4" t="str">
        <f t="shared" si="5"/>
        <v>Binh thuong</v>
      </c>
    </row>
    <row r="1603" ht="14.25" customHeight="1">
      <c r="A1603" s="4" t="s">
        <v>1620</v>
      </c>
      <c r="B1603" s="4">
        <v>81477.0</v>
      </c>
      <c r="C1603" s="4" t="s">
        <v>886</v>
      </c>
      <c r="D1603" s="4" t="str">
        <f t="shared" si="1"/>
        <v>MA3</v>
      </c>
      <c r="E1603" s="4">
        <f t="shared" si="2"/>
        <v>6789.75</v>
      </c>
      <c r="F1603" s="4">
        <f t="shared" si="3"/>
        <v>2263.25</v>
      </c>
      <c r="G1603" s="4">
        <f t="shared" si="4"/>
        <v>6790</v>
      </c>
      <c r="H1603" s="4" t="str">
        <f t="shared" si="5"/>
        <v>Uu tien cao</v>
      </c>
    </row>
    <row r="1604" ht="14.25" customHeight="1">
      <c r="A1604" s="4" t="s">
        <v>1621</v>
      </c>
      <c r="B1604" s="4">
        <v>2043.0</v>
      </c>
      <c r="C1604" s="4" t="s">
        <v>886</v>
      </c>
      <c r="D1604" s="4" t="str">
        <f t="shared" si="1"/>
        <v>MA3</v>
      </c>
      <c r="E1604" s="4">
        <f t="shared" si="2"/>
        <v>170.25</v>
      </c>
      <c r="F1604" s="4">
        <f t="shared" si="3"/>
        <v>56.75</v>
      </c>
      <c r="G1604" s="4">
        <f t="shared" si="4"/>
        <v>170</v>
      </c>
      <c r="H1604" s="4" t="str">
        <f t="shared" si="5"/>
        <v>Binh thuong</v>
      </c>
    </row>
    <row r="1605" ht="14.25" customHeight="1">
      <c r="A1605" s="4" t="s">
        <v>1622</v>
      </c>
      <c r="B1605" s="4">
        <v>10738.0</v>
      </c>
      <c r="C1605" s="4" t="s">
        <v>886</v>
      </c>
      <c r="D1605" s="4" t="str">
        <f t="shared" si="1"/>
        <v>MA3</v>
      </c>
      <c r="E1605" s="4">
        <f t="shared" si="2"/>
        <v>894.8333333</v>
      </c>
      <c r="F1605" s="4">
        <f t="shared" si="3"/>
        <v>298.2777778</v>
      </c>
      <c r="G1605" s="4">
        <f t="shared" si="4"/>
        <v>895</v>
      </c>
      <c r="H1605" s="4" t="str">
        <f t="shared" si="5"/>
        <v>Binh thuong</v>
      </c>
    </row>
    <row r="1606" ht="14.25" customHeight="1">
      <c r="A1606" s="4" t="s">
        <v>1623</v>
      </c>
      <c r="B1606" s="4">
        <v>54147.0</v>
      </c>
      <c r="C1606" s="4" t="s">
        <v>886</v>
      </c>
      <c r="D1606" s="4" t="str">
        <f t="shared" si="1"/>
        <v>MA3</v>
      </c>
      <c r="E1606" s="4">
        <f t="shared" si="2"/>
        <v>4512.25</v>
      </c>
      <c r="F1606" s="4">
        <f t="shared" si="3"/>
        <v>1504.083333</v>
      </c>
      <c r="G1606" s="4">
        <f t="shared" si="4"/>
        <v>4512</v>
      </c>
      <c r="H1606" s="4" t="str">
        <f t="shared" si="5"/>
        <v>Uu tien cao</v>
      </c>
    </row>
    <row r="1607" ht="14.25" customHeight="1">
      <c r="A1607" s="4" t="s">
        <v>1624</v>
      </c>
      <c r="B1607" s="4">
        <v>1524.0</v>
      </c>
      <c r="C1607" s="4" t="s">
        <v>886</v>
      </c>
      <c r="D1607" s="4" t="str">
        <f t="shared" si="1"/>
        <v>MA3</v>
      </c>
      <c r="E1607" s="4">
        <f t="shared" si="2"/>
        <v>127</v>
      </c>
      <c r="F1607" s="4">
        <f t="shared" si="3"/>
        <v>42.33333333</v>
      </c>
      <c r="G1607" s="4">
        <f t="shared" si="4"/>
        <v>127</v>
      </c>
      <c r="H1607" s="4" t="str">
        <f t="shared" si="5"/>
        <v>Binh thuong</v>
      </c>
    </row>
    <row r="1608" ht="14.25" customHeight="1">
      <c r="A1608" s="4" t="s">
        <v>1625</v>
      </c>
      <c r="B1608" s="4">
        <v>5426.0</v>
      </c>
      <c r="C1608" s="4" t="s">
        <v>886</v>
      </c>
      <c r="D1608" s="4" t="str">
        <f t="shared" si="1"/>
        <v>MA3</v>
      </c>
      <c r="E1608" s="4">
        <f t="shared" si="2"/>
        <v>452.1666667</v>
      </c>
      <c r="F1608" s="4">
        <f t="shared" si="3"/>
        <v>150.7222222</v>
      </c>
      <c r="G1608" s="4">
        <f t="shared" si="4"/>
        <v>452</v>
      </c>
      <c r="H1608" s="4" t="str">
        <f t="shared" si="5"/>
        <v>Binh thuong</v>
      </c>
    </row>
    <row r="1609" ht="14.25" customHeight="1">
      <c r="A1609" s="4" t="s">
        <v>1626</v>
      </c>
      <c r="B1609" s="4">
        <v>23372.0</v>
      </c>
      <c r="C1609" s="4" t="s">
        <v>886</v>
      </c>
      <c r="D1609" s="4" t="str">
        <f t="shared" si="1"/>
        <v>MA3</v>
      </c>
      <c r="E1609" s="4">
        <f t="shared" si="2"/>
        <v>1947.666667</v>
      </c>
      <c r="F1609" s="4">
        <f t="shared" si="3"/>
        <v>649.2222222</v>
      </c>
      <c r="G1609" s="4">
        <f t="shared" si="4"/>
        <v>1948</v>
      </c>
      <c r="H1609" s="4" t="str">
        <f t="shared" si="5"/>
        <v>Binh thuong</v>
      </c>
    </row>
    <row r="1610" ht="14.25" customHeight="1">
      <c r="A1610" s="4" t="s">
        <v>1627</v>
      </c>
      <c r="B1610" s="4">
        <v>1792.0</v>
      </c>
      <c r="C1610" s="4" t="s">
        <v>886</v>
      </c>
      <c r="D1610" s="4" t="str">
        <f t="shared" si="1"/>
        <v>MA3</v>
      </c>
      <c r="E1610" s="4">
        <f t="shared" si="2"/>
        <v>149.3333333</v>
      </c>
      <c r="F1610" s="4">
        <f t="shared" si="3"/>
        <v>49.77777778</v>
      </c>
      <c r="G1610" s="4">
        <f t="shared" si="4"/>
        <v>149</v>
      </c>
      <c r="H1610" s="4" t="str">
        <f t="shared" si="5"/>
        <v>Binh thuong</v>
      </c>
    </row>
    <row r="1611" ht="14.25" customHeight="1">
      <c r="A1611" s="4" t="s">
        <v>1628</v>
      </c>
      <c r="B1611" s="4">
        <v>4157.0</v>
      </c>
      <c r="C1611" s="4" t="s">
        <v>886</v>
      </c>
      <c r="D1611" s="4" t="str">
        <f t="shared" si="1"/>
        <v>MA3</v>
      </c>
      <c r="E1611" s="4">
        <f t="shared" si="2"/>
        <v>346.4166667</v>
      </c>
      <c r="F1611" s="4">
        <f t="shared" si="3"/>
        <v>115.4722222</v>
      </c>
      <c r="G1611" s="4">
        <f t="shared" si="4"/>
        <v>346</v>
      </c>
      <c r="H1611" s="4" t="str">
        <f t="shared" si="5"/>
        <v>Binh thuong</v>
      </c>
    </row>
    <row r="1612" ht="14.25" customHeight="1">
      <c r="A1612" s="4" t="s">
        <v>1629</v>
      </c>
      <c r="B1612" s="4">
        <v>26941.0</v>
      </c>
      <c r="C1612" s="4" t="s">
        <v>886</v>
      </c>
      <c r="D1612" s="4" t="str">
        <f t="shared" si="1"/>
        <v>MA3</v>
      </c>
      <c r="E1612" s="4">
        <f t="shared" si="2"/>
        <v>2245.083333</v>
      </c>
      <c r="F1612" s="4">
        <f t="shared" si="3"/>
        <v>748.3611111</v>
      </c>
      <c r="G1612" s="4">
        <f t="shared" si="4"/>
        <v>2245</v>
      </c>
      <c r="H1612" s="4" t="str">
        <f t="shared" si="5"/>
        <v>Binh thuong</v>
      </c>
    </row>
    <row r="1613" ht="14.25" customHeight="1">
      <c r="A1613" s="4" t="s">
        <v>1630</v>
      </c>
      <c r="B1613" s="4">
        <v>1450.0</v>
      </c>
      <c r="C1613" s="4" t="s">
        <v>886</v>
      </c>
      <c r="D1613" s="4" t="str">
        <f t="shared" si="1"/>
        <v>MA3</v>
      </c>
      <c r="E1613" s="4">
        <f t="shared" si="2"/>
        <v>120.8333333</v>
      </c>
      <c r="F1613" s="4">
        <f t="shared" si="3"/>
        <v>40.27777778</v>
      </c>
      <c r="G1613" s="4">
        <f t="shared" si="4"/>
        <v>121</v>
      </c>
      <c r="H1613" s="4" t="str">
        <f t="shared" si="5"/>
        <v>Binh thuong</v>
      </c>
    </row>
    <row r="1614" ht="14.25" customHeight="1">
      <c r="A1614" s="4" t="s">
        <v>1631</v>
      </c>
      <c r="B1614" s="4">
        <v>4119.0</v>
      </c>
      <c r="C1614" s="4" t="s">
        <v>886</v>
      </c>
      <c r="D1614" s="4" t="str">
        <f t="shared" si="1"/>
        <v>MA3</v>
      </c>
      <c r="E1614" s="4">
        <f t="shared" si="2"/>
        <v>343.25</v>
      </c>
      <c r="F1614" s="4">
        <f t="shared" si="3"/>
        <v>114.4166667</v>
      </c>
      <c r="G1614" s="4">
        <f t="shared" si="4"/>
        <v>343</v>
      </c>
      <c r="H1614" s="4" t="str">
        <f t="shared" si="5"/>
        <v>Binh thuong</v>
      </c>
    </row>
    <row r="1615" ht="14.25" customHeight="1">
      <c r="A1615" s="4" t="s">
        <v>1632</v>
      </c>
      <c r="B1615" s="4">
        <v>17983.0</v>
      </c>
      <c r="C1615" s="4" t="s">
        <v>886</v>
      </c>
      <c r="D1615" s="4" t="str">
        <f t="shared" si="1"/>
        <v>MA3</v>
      </c>
      <c r="E1615" s="4">
        <f t="shared" si="2"/>
        <v>1498.583333</v>
      </c>
      <c r="F1615" s="4">
        <f t="shared" si="3"/>
        <v>499.5277778</v>
      </c>
      <c r="G1615" s="4">
        <f t="shared" si="4"/>
        <v>1499</v>
      </c>
      <c r="H1615" s="4" t="str">
        <f t="shared" si="5"/>
        <v>Binh thuong</v>
      </c>
    </row>
    <row r="1616" ht="14.25" customHeight="1">
      <c r="A1616" s="4" t="s">
        <v>1633</v>
      </c>
      <c r="B1616" s="4">
        <v>2881.0</v>
      </c>
      <c r="C1616" s="4" t="s">
        <v>886</v>
      </c>
      <c r="D1616" s="4" t="str">
        <f t="shared" si="1"/>
        <v>MA3</v>
      </c>
      <c r="E1616" s="4">
        <f t="shared" si="2"/>
        <v>240.0833333</v>
      </c>
      <c r="F1616" s="4">
        <f t="shared" si="3"/>
        <v>80.02777778</v>
      </c>
      <c r="G1616" s="4">
        <f t="shared" si="4"/>
        <v>240</v>
      </c>
      <c r="H1616" s="4" t="str">
        <f t="shared" si="5"/>
        <v>Binh thuong</v>
      </c>
    </row>
    <row r="1617" ht="14.25" customHeight="1">
      <c r="A1617" s="4" t="s">
        <v>1634</v>
      </c>
      <c r="B1617" s="4">
        <v>20931.0</v>
      </c>
      <c r="C1617" s="4" t="s">
        <v>886</v>
      </c>
      <c r="D1617" s="4" t="str">
        <f t="shared" si="1"/>
        <v>MA3</v>
      </c>
      <c r="E1617" s="4">
        <f t="shared" si="2"/>
        <v>1744.25</v>
      </c>
      <c r="F1617" s="4">
        <f t="shared" si="3"/>
        <v>581.4166667</v>
      </c>
      <c r="G1617" s="4">
        <f t="shared" si="4"/>
        <v>1744</v>
      </c>
      <c r="H1617" s="4" t="str">
        <f t="shared" si="5"/>
        <v>Binh thuong</v>
      </c>
    </row>
    <row r="1618" ht="14.25" customHeight="1">
      <c r="A1618" s="4" t="s">
        <v>1635</v>
      </c>
      <c r="B1618" s="4">
        <v>1039.0</v>
      </c>
      <c r="C1618" s="4" t="s">
        <v>886</v>
      </c>
      <c r="D1618" s="4" t="str">
        <f t="shared" si="1"/>
        <v>MA3</v>
      </c>
      <c r="E1618" s="4">
        <f t="shared" si="2"/>
        <v>86.58333333</v>
      </c>
      <c r="F1618" s="4">
        <f t="shared" si="3"/>
        <v>28.86111111</v>
      </c>
      <c r="G1618" s="4">
        <f t="shared" si="4"/>
        <v>87</v>
      </c>
      <c r="H1618" s="4" t="str">
        <f t="shared" si="5"/>
        <v>Binh thuong</v>
      </c>
    </row>
    <row r="1619" ht="14.25" customHeight="1">
      <c r="A1619" s="4" t="s">
        <v>1636</v>
      </c>
      <c r="B1619" s="4">
        <v>48689.0</v>
      </c>
      <c r="C1619" s="4" t="s">
        <v>886</v>
      </c>
      <c r="D1619" s="4" t="str">
        <f t="shared" si="1"/>
        <v>MA3</v>
      </c>
      <c r="E1619" s="4">
        <f t="shared" si="2"/>
        <v>4057.416667</v>
      </c>
      <c r="F1619" s="4">
        <f t="shared" si="3"/>
        <v>1352.472222</v>
      </c>
      <c r="G1619" s="4">
        <f t="shared" si="4"/>
        <v>4057</v>
      </c>
      <c r="H1619" s="4" t="str">
        <f t="shared" si="5"/>
        <v>Uu tien cao</v>
      </c>
    </row>
    <row r="1620" ht="14.25" customHeight="1">
      <c r="A1620" s="4" t="s">
        <v>1637</v>
      </c>
      <c r="B1620" s="4">
        <v>58490.0</v>
      </c>
      <c r="C1620" s="4" t="s">
        <v>886</v>
      </c>
      <c r="D1620" s="4" t="str">
        <f t="shared" si="1"/>
        <v>MA3</v>
      </c>
      <c r="E1620" s="4">
        <f t="shared" si="2"/>
        <v>4874.166667</v>
      </c>
      <c r="F1620" s="4">
        <f t="shared" si="3"/>
        <v>1624.722222</v>
      </c>
      <c r="G1620" s="4">
        <f t="shared" si="4"/>
        <v>4874</v>
      </c>
      <c r="H1620" s="4" t="str">
        <f t="shared" si="5"/>
        <v>Uu tien cao</v>
      </c>
    </row>
    <row r="1621" ht="14.25" customHeight="1">
      <c r="A1621" s="4" t="s">
        <v>1638</v>
      </c>
      <c r="B1621" s="4">
        <v>99428.0</v>
      </c>
      <c r="C1621" s="4" t="s">
        <v>886</v>
      </c>
      <c r="D1621" s="4" t="str">
        <f t="shared" si="1"/>
        <v>MA3</v>
      </c>
      <c r="E1621" s="4">
        <f t="shared" si="2"/>
        <v>8285.666667</v>
      </c>
      <c r="F1621" s="4">
        <f t="shared" si="3"/>
        <v>2761.888889</v>
      </c>
      <c r="G1621" s="4">
        <f t="shared" si="4"/>
        <v>8286</v>
      </c>
      <c r="H1621" s="4" t="str">
        <f t="shared" si="5"/>
        <v>Uu tien cao</v>
      </c>
    </row>
    <row r="1622" ht="14.25" customHeight="1">
      <c r="A1622" s="4" t="s">
        <v>1639</v>
      </c>
      <c r="B1622" s="4">
        <v>122334.0</v>
      </c>
      <c r="C1622" s="4" t="s">
        <v>886</v>
      </c>
      <c r="D1622" s="4" t="str">
        <f t="shared" si="1"/>
        <v>MA3</v>
      </c>
      <c r="E1622" s="4">
        <f t="shared" si="2"/>
        <v>10194.5</v>
      </c>
      <c r="F1622" s="4">
        <f t="shared" si="3"/>
        <v>3398.166667</v>
      </c>
      <c r="G1622" s="4">
        <f t="shared" si="4"/>
        <v>10195</v>
      </c>
      <c r="H1622" s="4" t="str">
        <f t="shared" si="5"/>
        <v>Uu tien cao</v>
      </c>
    </row>
    <row r="1623" ht="14.25" customHeight="1">
      <c r="A1623" s="4" t="s">
        <v>1640</v>
      </c>
      <c r="B1623" s="4">
        <v>165738.0</v>
      </c>
      <c r="C1623" s="4" t="s">
        <v>886</v>
      </c>
      <c r="D1623" s="4" t="str">
        <f t="shared" si="1"/>
        <v>MA3</v>
      </c>
      <c r="E1623" s="4">
        <f t="shared" si="2"/>
        <v>13811.5</v>
      </c>
      <c r="F1623" s="4">
        <f t="shared" si="3"/>
        <v>4603.833333</v>
      </c>
      <c r="G1623" s="4">
        <f t="shared" si="4"/>
        <v>13812</v>
      </c>
      <c r="H1623" s="4" t="str">
        <f t="shared" si="5"/>
        <v>Uu tien cao</v>
      </c>
    </row>
    <row r="1624" ht="14.25" customHeight="1">
      <c r="A1624" s="4" t="s">
        <v>1641</v>
      </c>
      <c r="B1624" s="4">
        <v>80595.0</v>
      </c>
      <c r="C1624" s="4" t="s">
        <v>886</v>
      </c>
      <c r="D1624" s="4" t="str">
        <f t="shared" si="1"/>
        <v>MA3</v>
      </c>
      <c r="E1624" s="4">
        <f t="shared" si="2"/>
        <v>6716.25</v>
      </c>
      <c r="F1624" s="4">
        <f t="shared" si="3"/>
        <v>2238.75</v>
      </c>
      <c r="G1624" s="4">
        <f t="shared" si="4"/>
        <v>6716</v>
      </c>
      <c r="H1624" s="4" t="str">
        <f t="shared" si="5"/>
        <v>Uu tien cao</v>
      </c>
    </row>
    <row r="1625" ht="14.25" customHeight="1">
      <c r="A1625" s="4" t="s">
        <v>1642</v>
      </c>
      <c r="B1625" s="4">
        <v>43485.0</v>
      </c>
      <c r="C1625" s="4" t="s">
        <v>886</v>
      </c>
      <c r="D1625" s="4" t="str">
        <f t="shared" si="1"/>
        <v>MA3</v>
      </c>
      <c r="E1625" s="4">
        <f t="shared" si="2"/>
        <v>3623.75</v>
      </c>
      <c r="F1625" s="4">
        <f t="shared" si="3"/>
        <v>1207.916667</v>
      </c>
      <c r="G1625" s="4">
        <f t="shared" si="4"/>
        <v>3624</v>
      </c>
      <c r="H1625" s="4" t="str">
        <f t="shared" si="5"/>
        <v>Uu tien cao</v>
      </c>
    </row>
    <row r="1626" ht="14.25" customHeight="1">
      <c r="A1626" s="4" t="s">
        <v>1643</v>
      </c>
      <c r="B1626" s="4">
        <v>50924.0</v>
      </c>
      <c r="C1626" s="4" t="s">
        <v>886</v>
      </c>
      <c r="D1626" s="4" t="str">
        <f t="shared" si="1"/>
        <v>MA3</v>
      </c>
      <c r="E1626" s="4">
        <f t="shared" si="2"/>
        <v>4243.666667</v>
      </c>
      <c r="F1626" s="4">
        <f t="shared" si="3"/>
        <v>1414.555556</v>
      </c>
      <c r="G1626" s="4">
        <f t="shared" si="4"/>
        <v>4244</v>
      </c>
      <c r="H1626" s="4" t="str">
        <f t="shared" si="5"/>
        <v>Uu tien cao</v>
      </c>
    </row>
    <row r="1627" ht="14.25" customHeight="1">
      <c r="A1627" s="4" t="s">
        <v>1644</v>
      </c>
      <c r="B1627" s="4">
        <v>56704.0</v>
      </c>
      <c r="C1627" s="4" t="s">
        <v>886</v>
      </c>
      <c r="D1627" s="4" t="str">
        <f t="shared" si="1"/>
        <v>MA3</v>
      </c>
      <c r="E1627" s="4">
        <f t="shared" si="2"/>
        <v>4725.333333</v>
      </c>
      <c r="F1627" s="4">
        <f t="shared" si="3"/>
        <v>1575.111111</v>
      </c>
      <c r="G1627" s="4">
        <f t="shared" si="4"/>
        <v>4725</v>
      </c>
      <c r="H1627" s="4" t="str">
        <f t="shared" si="5"/>
        <v>Uu tien cao</v>
      </c>
    </row>
    <row r="1628" ht="14.25" customHeight="1">
      <c r="A1628" s="4" t="s">
        <v>1645</v>
      </c>
      <c r="B1628" s="4">
        <v>11147.0</v>
      </c>
      <c r="C1628" s="4" t="s">
        <v>886</v>
      </c>
      <c r="D1628" s="4" t="str">
        <f t="shared" si="1"/>
        <v>MA3</v>
      </c>
      <c r="E1628" s="4">
        <f t="shared" si="2"/>
        <v>928.9166667</v>
      </c>
      <c r="F1628" s="4">
        <f t="shared" si="3"/>
        <v>309.6388889</v>
      </c>
      <c r="G1628" s="4">
        <f t="shared" si="4"/>
        <v>929</v>
      </c>
      <c r="H1628" s="4" t="str">
        <f t="shared" si="5"/>
        <v>Binh thuong</v>
      </c>
    </row>
    <row r="1629" ht="14.25" customHeight="1">
      <c r="A1629" s="4" t="s">
        <v>1646</v>
      </c>
      <c r="B1629" s="4">
        <v>7346.0</v>
      </c>
      <c r="C1629" s="4" t="s">
        <v>886</v>
      </c>
      <c r="D1629" s="4" t="str">
        <f t="shared" si="1"/>
        <v>MA3</v>
      </c>
      <c r="E1629" s="4">
        <f t="shared" si="2"/>
        <v>612.1666667</v>
      </c>
      <c r="F1629" s="4">
        <f t="shared" si="3"/>
        <v>204.0555556</v>
      </c>
      <c r="G1629" s="4">
        <f t="shared" si="4"/>
        <v>612</v>
      </c>
      <c r="H1629" s="4" t="str">
        <f t="shared" si="5"/>
        <v>Binh thuong</v>
      </c>
    </row>
    <row r="1630" ht="14.25" customHeight="1">
      <c r="A1630" s="4" t="s">
        <v>1647</v>
      </c>
      <c r="B1630" s="4">
        <v>4727.0</v>
      </c>
      <c r="C1630" s="4" t="s">
        <v>886</v>
      </c>
      <c r="D1630" s="4" t="str">
        <f t="shared" si="1"/>
        <v>MA3</v>
      </c>
      <c r="E1630" s="4">
        <f t="shared" si="2"/>
        <v>393.9166667</v>
      </c>
      <c r="F1630" s="4">
        <f t="shared" si="3"/>
        <v>131.3055556</v>
      </c>
      <c r="G1630" s="4">
        <f t="shared" si="4"/>
        <v>394</v>
      </c>
      <c r="H1630" s="4" t="str">
        <f t="shared" si="5"/>
        <v>Binh thuong</v>
      </c>
    </row>
    <row r="1631" ht="14.25" customHeight="1">
      <c r="A1631" s="4" t="s">
        <v>1648</v>
      </c>
      <c r="B1631" s="4">
        <v>10238.0</v>
      </c>
      <c r="C1631" s="4" t="s">
        <v>886</v>
      </c>
      <c r="D1631" s="4" t="str">
        <f t="shared" si="1"/>
        <v>MA3</v>
      </c>
      <c r="E1631" s="4">
        <f t="shared" si="2"/>
        <v>853.1666667</v>
      </c>
      <c r="F1631" s="4">
        <f t="shared" si="3"/>
        <v>284.3888889</v>
      </c>
      <c r="G1631" s="4">
        <f t="shared" si="4"/>
        <v>853</v>
      </c>
      <c r="H1631" s="4" t="str">
        <f t="shared" si="5"/>
        <v>Binh thuong</v>
      </c>
    </row>
    <row r="1632" ht="14.25" customHeight="1">
      <c r="A1632" s="4" t="s">
        <v>1649</v>
      </c>
      <c r="B1632" s="4">
        <v>76785.0</v>
      </c>
      <c r="C1632" s="4" t="s">
        <v>886</v>
      </c>
      <c r="D1632" s="4" t="str">
        <f t="shared" si="1"/>
        <v>MA3</v>
      </c>
      <c r="E1632" s="4">
        <f t="shared" si="2"/>
        <v>6398.75</v>
      </c>
      <c r="F1632" s="4">
        <f t="shared" si="3"/>
        <v>2132.916667</v>
      </c>
      <c r="G1632" s="4">
        <f t="shared" si="4"/>
        <v>6399</v>
      </c>
      <c r="H1632" s="4" t="str">
        <f t="shared" si="5"/>
        <v>Uu tien cao</v>
      </c>
    </row>
    <row r="1633" ht="14.25" customHeight="1">
      <c r="A1633" s="4" t="s">
        <v>1650</v>
      </c>
      <c r="B1633" s="4">
        <v>25450.0</v>
      </c>
      <c r="C1633" s="4" t="s">
        <v>886</v>
      </c>
      <c r="D1633" s="4" t="str">
        <f t="shared" si="1"/>
        <v>MA3</v>
      </c>
      <c r="E1633" s="4">
        <f t="shared" si="2"/>
        <v>2120.833333</v>
      </c>
      <c r="F1633" s="4">
        <f t="shared" si="3"/>
        <v>706.9444444</v>
      </c>
      <c r="G1633" s="4">
        <f t="shared" si="4"/>
        <v>2121</v>
      </c>
      <c r="H1633" s="4" t="str">
        <f t="shared" si="5"/>
        <v>Binh thuong</v>
      </c>
    </row>
    <row r="1634" ht="14.25" customHeight="1">
      <c r="A1634" s="4" t="s">
        <v>1651</v>
      </c>
      <c r="B1634" s="4">
        <v>30322.0</v>
      </c>
      <c r="C1634" s="4" t="s">
        <v>886</v>
      </c>
      <c r="D1634" s="4" t="str">
        <f t="shared" si="1"/>
        <v>MA3</v>
      </c>
      <c r="E1634" s="4">
        <f t="shared" si="2"/>
        <v>2526.833333</v>
      </c>
      <c r="F1634" s="4">
        <f t="shared" si="3"/>
        <v>842.2777778</v>
      </c>
      <c r="G1634" s="4">
        <f t="shared" si="4"/>
        <v>2527</v>
      </c>
      <c r="H1634" s="4" t="str">
        <f t="shared" si="5"/>
        <v>Binh thuong</v>
      </c>
    </row>
    <row r="1635" ht="14.25" customHeight="1">
      <c r="A1635" s="4" t="s">
        <v>1652</v>
      </c>
      <c r="B1635" s="4">
        <v>76365.0</v>
      </c>
      <c r="C1635" s="4" t="s">
        <v>886</v>
      </c>
      <c r="D1635" s="4" t="str">
        <f t="shared" si="1"/>
        <v>MA3</v>
      </c>
      <c r="E1635" s="4">
        <f t="shared" si="2"/>
        <v>6363.75</v>
      </c>
      <c r="F1635" s="4">
        <f t="shared" si="3"/>
        <v>2121.25</v>
      </c>
      <c r="G1635" s="4">
        <f t="shared" si="4"/>
        <v>6364</v>
      </c>
      <c r="H1635" s="4" t="str">
        <f t="shared" si="5"/>
        <v>Uu tien cao</v>
      </c>
    </row>
    <row r="1636" ht="14.25" customHeight="1">
      <c r="A1636" s="4" t="s">
        <v>1653</v>
      </c>
      <c r="B1636" s="4">
        <v>93248.0</v>
      </c>
      <c r="C1636" s="4" t="s">
        <v>886</v>
      </c>
      <c r="D1636" s="4" t="str">
        <f t="shared" si="1"/>
        <v>MA3</v>
      </c>
      <c r="E1636" s="4">
        <f t="shared" si="2"/>
        <v>7770.666667</v>
      </c>
      <c r="F1636" s="4">
        <f t="shared" si="3"/>
        <v>2590.222222</v>
      </c>
      <c r="G1636" s="4">
        <f t="shared" si="4"/>
        <v>7771</v>
      </c>
      <c r="H1636" s="4" t="str">
        <f t="shared" si="5"/>
        <v>Uu tien cao</v>
      </c>
    </row>
    <row r="1637" ht="14.25" customHeight="1">
      <c r="A1637" s="4" t="s">
        <v>1654</v>
      </c>
      <c r="B1637" s="4">
        <v>48192.0</v>
      </c>
      <c r="C1637" s="4" t="s">
        <v>886</v>
      </c>
      <c r="D1637" s="4" t="str">
        <f t="shared" si="1"/>
        <v>MA3</v>
      </c>
      <c r="E1637" s="4">
        <f t="shared" si="2"/>
        <v>4016</v>
      </c>
      <c r="F1637" s="4">
        <f t="shared" si="3"/>
        <v>1338.666667</v>
      </c>
      <c r="G1637" s="4">
        <f t="shared" si="4"/>
        <v>4016</v>
      </c>
      <c r="H1637" s="4" t="str">
        <f t="shared" si="5"/>
        <v>Uu tien cao</v>
      </c>
    </row>
    <row r="1638" ht="14.25" customHeight="1">
      <c r="A1638" s="4" t="s">
        <v>1655</v>
      </c>
      <c r="B1638" s="4">
        <v>53955.0</v>
      </c>
      <c r="C1638" s="4" t="s">
        <v>886</v>
      </c>
      <c r="D1638" s="4" t="str">
        <f t="shared" si="1"/>
        <v>MA3</v>
      </c>
      <c r="E1638" s="4">
        <f t="shared" si="2"/>
        <v>4496.25</v>
      </c>
      <c r="F1638" s="4">
        <f t="shared" si="3"/>
        <v>1498.75</v>
      </c>
      <c r="G1638" s="4">
        <f t="shared" si="4"/>
        <v>4496</v>
      </c>
      <c r="H1638" s="4" t="str">
        <f t="shared" si="5"/>
        <v>Uu tien cao</v>
      </c>
    </row>
    <row r="1639" ht="14.25" customHeight="1">
      <c r="A1639" s="4" t="s">
        <v>1656</v>
      </c>
      <c r="B1639" s="4">
        <v>63728.0</v>
      </c>
      <c r="C1639" s="4" t="s">
        <v>886</v>
      </c>
      <c r="D1639" s="4" t="str">
        <f t="shared" si="1"/>
        <v>MA3</v>
      </c>
      <c r="E1639" s="4">
        <f t="shared" si="2"/>
        <v>5310.666667</v>
      </c>
      <c r="F1639" s="4">
        <f t="shared" si="3"/>
        <v>1770.222222</v>
      </c>
      <c r="G1639" s="4">
        <f t="shared" si="4"/>
        <v>5311</v>
      </c>
      <c r="H1639" s="4" t="str">
        <f t="shared" si="5"/>
        <v>Uu tien cao</v>
      </c>
    </row>
    <row r="1640" ht="14.25" customHeight="1">
      <c r="A1640" s="4" t="s">
        <v>1657</v>
      </c>
      <c r="B1640" s="4">
        <v>55095.0</v>
      </c>
      <c r="C1640" s="4" t="s">
        <v>886</v>
      </c>
      <c r="D1640" s="4" t="str">
        <f t="shared" si="1"/>
        <v>MA3</v>
      </c>
      <c r="E1640" s="4">
        <f t="shared" si="2"/>
        <v>4591.25</v>
      </c>
      <c r="F1640" s="4">
        <f t="shared" si="3"/>
        <v>1530.416667</v>
      </c>
      <c r="G1640" s="4">
        <f t="shared" si="4"/>
        <v>4591</v>
      </c>
      <c r="H1640" s="4" t="str">
        <f t="shared" si="5"/>
        <v>Uu tien cao</v>
      </c>
    </row>
    <row r="1641" ht="14.25" customHeight="1">
      <c r="A1641" s="4" t="s">
        <v>1658</v>
      </c>
      <c r="B1641" s="4">
        <v>26290.0</v>
      </c>
      <c r="C1641" s="4" t="s">
        <v>886</v>
      </c>
      <c r="D1641" s="4" t="str">
        <f t="shared" si="1"/>
        <v>MA3</v>
      </c>
      <c r="E1641" s="4">
        <f t="shared" si="2"/>
        <v>2190.833333</v>
      </c>
      <c r="F1641" s="4">
        <f t="shared" si="3"/>
        <v>730.2777778</v>
      </c>
      <c r="G1641" s="4">
        <f t="shared" si="4"/>
        <v>2191</v>
      </c>
      <c r="H1641" s="4" t="str">
        <f t="shared" si="5"/>
        <v>Binh thuong</v>
      </c>
    </row>
    <row r="1642" ht="14.25" customHeight="1">
      <c r="A1642" s="4" t="s">
        <v>1659</v>
      </c>
      <c r="B1642" s="4">
        <v>32677.0</v>
      </c>
      <c r="C1642" s="4" t="s">
        <v>886</v>
      </c>
      <c r="D1642" s="4" t="str">
        <f t="shared" si="1"/>
        <v>MA3</v>
      </c>
      <c r="E1642" s="4">
        <f t="shared" si="2"/>
        <v>2723.083333</v>
      </c>
      <c r="F1642" s="4">
        <f t="shared" si="3"/>
        <v>907.6944444</v>
      </c>
      <c r="G1642" s="4">
        <f t="shared" si="4"/>
        <v>2723</v>
      </c>
      <c r="H1642" s="4" t="str">
        <f t="shared" si="5"/>
        <v>Binh thuong</v>
      </c>
    </row>
    <row r="1643" ht="14.25" customHeight="1">
      <c r="A1643" s="4" t="s">
        <v>1660</v>
      </c>
      <c r="B1643" s="4">
        <v>44219.0</v>
      </c>
      <c r="C1643" s="4" t="s">
        <v>886</v>
      </c>
      <c r="D1643" s="4" t="str">
        <f t="shared" si="1"/>
        <v>MA3</v>
      </c>
      <c r="E1643" s="4">
        <f t="shared" si="2"/>
        <v>3684.916667</v>
      </c>
      <c r="F1643" s="4">
        <f t="shared" si="3"/>
        <v>1228.305556</v>
      </c>
      <c r="G1643" s="4">
        <f t="shared" si="4"/>
        <v>3685</v>
      </c>
      <c r="H1643" s="4" t="str">
        <f t="shared" si="5"/>
        <v>Uu tien cao</v>
      </c>
    </row>
    <row r="1644" ht="14.25" customHeight="1">
      <c r="A1644" s="4" t="s">
        <v>1661</v>
      </c>
      <c r="B1644" s="4">
        <v>31004.0</v>
      </c>
      <c r="C1644" s="4" t="s">
        <v>886</v>
      </c>
      <c r="D1644" s="4" t="str">
        <f t="shared" si="1"/>
        <v>MA3</v>
      </c>
      <c r="E1644" s="4">
        <f t="shared" si="2"/>
        <v>2583.666667</v>
      </c>
      <c r="F1644" s="4">
        <f t="shared" si="3"/>
        <v>861.2222222</v>
      </c>
      <c r="G1644" s="4">
        <f t="shared" si="4"/>
        <v>2584</v>
      </c>
      <c r="H1644" s="4" t="str">
        <f t="shared" si="5"/>
        <v>Binh thuong</v>
      </c>
    </row>
    <row r="1645" ht="14.25" customHeight="1">
      <c r="A1645" s="4" t="s">
        <v>1662</v>
      </c>
      <c r="B1645" s="4">
        <v>33330.0</v>
      </c>
      <c r="C1645" s="4" t="s">
        <v>886</v>
      </c>
      <c r="D1645" s="4" t="str">
        <f t="shared" si="1"/>
        <v>MA3</v>
      </c>
      <c r="E1645" s="4">
        <f t="shared" si="2"/>
        <v>2777.5</v>
      </c>
      <c r="F1645" s="4">
        <f t="shared" si="3"/>
        <v>925.8333333</v>
      </c>
      <c r="G1645" s="4">
        <f t="shared" si="4"/>
        <v>2778</v>
      </c>
      <c r="H1645" s="4" t="str">
        <f t="shared" si="5"/>
        <v>Binh thuong</v>
      </c>
    </row>
    <row r="1646" ht="14.25" customHeight="1">
      <c r="A1646" s="4" t="s">
        <v>1663</v>
      </c>
      <c r="B1646" s="4">
        <v>42984.0</v>
      </c>
      <c r="C1646" s="4" t="s">
        <v>886</v>
      </c>
      <c r="D1646" s="4" t="str">
        <f t="shared" si="1"/>
        <v>MA3</v>
      </c>
      <c r="E1646" s="4">
        <f t="shared" si="2"/>
        <v>3582</v>
      </c>
      <c r="F1646" s="4">
        <f t="shared" si="3"/>
        <v>1194</v>
      </c>
      <c r="G1646" s="4">
        <f t="shared" si="4"/>
        <v>3582</v>
      </c>
      <c r="H1646" s="4" t="str">
        <f t="shared" si="5"/>
        <v>Uu tien cao</v>
      </c>
    </row>
    <row r="1647" ht="14.25" customHeight="1">
      <c r="A1647" s="4" t="s">
        <v>1664</v>
      </c>
      <c r="B1647" s="4">
        <v>30410.0</v>
      </c>
      <c r="C1647" s="4" t="s">
        <v>886</v>
      </c>
      <c r="D1647" s="4" t="str">
        <f t="shared" si="1"/>
        <v>MA3</v>
      </c>
      <c r="E1647" s="4">
        <f t="shared" si="2"/>
        <v>2534.166667</v>
      </c>
      <c r="F1647" s="4">
        <f t="shared" si="3"/>
        <v>844.7222222</v>
      </c>
      <c r="G1647" s="4">
        <f t="shared" si="4"/>
        <v>2534</v>
      </c>
      <c r="H1647" s="4" t="str">
        <f t="shared" si="5"/>
        <v>Binh thuong</v>
      </c>
    </row>
    <row r="1648" ht="14.25" customHeight="1">
      <c r="A1648" s="4" t="s">
        <v>1665</v>
      </c>
      <c r="B1648" s="4">
        <v>20268.0</v>
      </c>
      <c r="C1648" s="4" t="s">
        <v>886</v>
      </c>
      <c r="D1648" s="4" t="str">
        <f t="shared" si="1"/>
        <v>MA3</v>
      </c>
      <c r="E1648" s="4">
        <f t="shared" si="2"/>
        <v>1689</v>
      </c>
      <c r="F1648" s="4">
        <f t="shared" si="3"/>
        <v>563</v>
      </c>
      <c r="G1648" s="4">
        <f t="shared" si="4"/>
        <v>1689</v>
      </c>
      <c r="H1648" s="4" t="str">
        <f t="shared" si="5"/>
        <v>Binh thuong</v>
      </c>
    </row>
    <row r="1649" ht="14.25" customHeight="1">
      <c r="A1649" s="4" t="s">
        <v>1666</v>
      </c>
      <c r="B1649" s="4">
        <v>24578.0</v>
      </c>
      <c r="C1649" s="4" t="s">
        <v>886</v>
      </c>
      <c r="D1649" s="4" t="str">
        <f t="shared" si="1"/>
        <v>MA3</v>
      </c>
      <c r="E1649" s="4">
        <f t="shared" si="2"/>
        <v>2048.166667</v>
      </c>
      <c r="F1649" s="4">
        <f t="shared" si="3"/>
        <v>682.7222222</v>
      </c>
      <c r="G1649" s="4">
        <f t="shared" si="4"/>
        <v>2048</v>
      </c>
      <c r="H1649" s="4" t="str">
        <f t="shared" si="5"/>
        <v>Binh thuong</v>
      </c>
    </row>
    <row r="1650" ht="14.25" customHeight="1">
      <c r="A1650" s="4" t="s">
        <v>1667</v>
      </c>
      <c r="B1650" s="4">
        <v>17764.0</v>
      </c>
      <c r="C1650" s="4" t="s">
        <v>886</v>
      </c>
      <c r="D1650" s="4" t="str">
        <f t="shared" si="1"/>
        <v>MA3</v>
      </c>
      <c r="E1650" s="4">
        <f t="shared" si="2"/>
        <v>1480.333333</v>
      </c>
      <c r="F1650" s="4">
        <f t="shared" si="3"/>
        <v>493.4444444</v>
      </c>
      <c r="G1650" s="4">
        <f t="shared" si="4"/>
        <v>1480</v>
      </c>
      <c r="H1650" s="4" t="str">
        <f t="shared" si="5"/>
        <v>Binh thuong</v>
      </c>
    </row>
    <row r="1651" ht="14.25" customHeight="1">
      <c r="A1651" s="4" t="s">
        <v>1668</v>
      </c>
      <c r="B1651" s="4">
        <v>4201.0</v>
      </c>
      <c r="C1651" s="4" t="s">
        <v>886</v>
      </c>
      <c r="D1651" s="4" t="str">
        <f t="shared" si="1"/>
        <v>MA3</v>
      </c>
      <c r="E1651" s="4">
        <f t="shared" si="2"/>
        <v>350.0833333</v>
      </c>
      <c r="F1651" s="4">
        <f t="shared" si="3"/>
        <v>116.6944444</v>
      </c>
      <c r="G1651" s="4">
        <f t="shared" si="4"/>
        <v>350</v>
      </c>
      <c r="H1651" s="4" t="str">
        <f t="shared" si="5"/>
        <v>Binh thuong</v>
      </c>
    </row>
    <row r="1652" ht="14.25" customHeight="1">
      <c r="A1652" s="4" t="s">
        <v>1669</v>
      </c>
      <c r="B1652" s="4">
        <v>2574.0</v>
      </c>
      <c r="C1652" s="4" t="s">
        <v>886</v>
      </c>
      <c r="D1652" s="4" t="str">
        <f t="shared" si="1"/>
        <v>MA3</v>
      </c>
      <c r="E1652" s="4">
        <f t="shared" si="2"/>
        <v>214.5</v>
      </c>
      <c r="F1652" s="4">
        <f t="shared" si="3"/>
        <v>71.5</v>
      </c>
      <c r="G1652" s="4">
        <f t="shared" si="4"/>
        <v>215</v>
      </c>
      <c r="H1652" s="4" t="str">
        <f t="shared" si="5"/>
        <v>Binh thuong</v>
      </c>
    </row>
    <row r="1653" ht="14.25" customHeight="1">
      <c r="A1653" s="4" t="s">
        <v>1670</v>
      </c>
      <c r="B1653" s="4">
        <v>3322.0</v>
      </c>
      <c r="C1653" s="4" t="s">
        <v>886</v>
      </c>
      <c r="D1653" s="4" t="str">
        <f t="shared" si="1"/>
        <v>MA3</v>
      </c>
      <c r="E1653" s="4">
        <f t="shared" si="2"/>
        <v>276.8333333</v>
      </c>
      <c r="F1653" s="4">
        <f t="shared" si="3"/>
        <v>92.27777778</v>
      </c>
      <c r="G1653" s="4">
        <f t="shared" si="4"/>
        <v>277</v>
      </c>
      <c r="H1653" s="4" t="str">
        <f t="shared" si="5"/>
        <v>Binh thuong</v>
      </c>
    </row>
    <row r="1654" ht="14.25" customHeight="1">
      <c r="A1654" s="4" t="s">
        <v>1671</v>
      </c>
      <c r="B1654" s="4">
        <v>6954.0</v>
      </c>
      <c r="C1654" s="4" t="s">
        <v>886</v>
      </c>
      <c r="D1654" s="4" t="str">
        <f t="shared" si="1"/>
        <v>MA3</v>
      </c>
      <c r="E1654" s="4">
        <f t="shared" si="2"/>
        <v>579.5</v>
      </c>
      <c r="F1654" s="4">
        <f t="shared" si="3"/>
        <v>193.1666667</v>
      </c>
      <c r="G1654" s="4">
        <f t="shared" si="4"/>
        <v>580</v>
      </c>
      <c r="H1654" s="4" t="str">
        <f t="shared" si="5"/>
        <v>Binh thuong</v>
      </c>
    </row>
    <row r="1655" ht="14.25" customHeight="1">
      <c r="A1655" s="4" t="s">
        <v>1672</v>
      </c>
      <c r="B1655" s="4">
        <v>5101.0</v>
      </c>
      <c r="C1655" s="4" t="s">
        <v>886</v>
      </c>
      <c r="D1655" s="4" t="str">
        <f t="shared" si="1"/>
        <v>MA3</v>
      </c>
      <c r="E1655" s="4">
        <f t="shared" si="2"/>
        <v>425.0833333</v>
      </c>
      <c r="F1655" s="4">
        <f t="shared" si="3"/>
        <v>141.6944444</v>
      </c>
      <c r="G1655" s="4">
        <f t="shared" si="4"/>
        <v>425</v>
      </c>
      <c r="H1655" s="4" t="str">
        <f t="shared" si="5"/>
        <v>Binh thuong</v>
      </c>
    </row>
    <row r="1656" ht="14.25" customHeight="1">
      <c r="A1656" s="4" t="s">
        <v>1673</v>
      </c>
      <c r="B1656" s="4">
        <v>5659.0</v>
      </c>
      <c r="C1656" s="4" t="s">
        <v>886</v>
      </c>
      <c r="D1656" s="4" t="str">
        <f t="shared" si="1"/>
        <v>MA3</v>
      </c>
      <c r="E1656" s="4">
        <f t="shared" si="2"/>
        <v>471.5833333</v>
      </c>
      <c r="F1656" s="4">
        <f t="shared" si="3"/>
        <v>157.1944444</v>
      </c>
      <c r="G1656" s="4">
        <f t="shared" si="4"/>
        <v>472</v>
      </c>
      <c r="H1656" s="4" t="str">
        <f t="shared" si="5"/>
        <v>Binh thuong</v>
      </c>
    </row>
    <row r="1657" ht="14.25" customHeight="1">
      <c r="A1657" s="4" t="s">
        <v>1674</v>
      </c>
      <c r="B1657" s="4">
        <v>2943.0</v>
      </c>
      <c r="C1657" s="4" t="s">
        <v>886</v>
      </c>
      <c r="D1657" s="4" t="str">
        <f t="shared" si="1"/>
        <v>MA3</v>
      </c>
      <c r="E1657" s="4">
        <f t="shared" si="2"/>
        <v>245.25</v>
      </c>
      <c r="F1657" s="4">
        <f t="shared" si="3"/>
        <v>81.75</v>
      </c>
      <c r="G1657" s="4">
        <f t="shared" si="4"/>
        <v>245</v>
      </c>
      <c r="H1657" s="4" t="str">
        <f t="shared" si="5"/>
        <v>Binh thuong</v>
      </c>
    </row>
    <row r="1658" ht="14.25" customHeight="1">
      <c r="A1658" s="4" t="s">
        <v>1675</v>
      </c>
      <c r="B1658" s="4">
        <v>7391.0</v>
      </c>
      <c r="C1658" s="4" t="s">
        <v>886</v>
      </c>
      <c r="D1658" s="4" t="str">
        <f t="shared" si="1"/>
        <v>MA3</v>
      </c>
      <c r="E1658" s="4">
        <f t="shared" si="2"/>
        <v>615.9166667</v>
      </c>
      <c r="F1658" s="4">
        <f t="shared" si="3"/>
        <v>205.3055556</v>
      </c>
      <c r="G1658" s="4">
        <f t="shared" si="4"/>
        <v>616</v>
      </c>
      <c r="H1658" s="4" t="str">
        <f t="shared" si="5"/>
        <v>Binh thuong</v>
      </c>
    </row>
    <row r="1659" ht="14.25" customHeight="1">
      <c r="A1659" s="4" t="s">
        <v>1676</v>
      </c>
      <c r="B1659" s="4">
        <v>7907.0</v>
      </c>
      <c r="C1659" s="4" t="s">
        <v>886</v>
      </c>
      <c r="D1659" s="4" t="str">
        <f t="shared" si="1"/>
        <v>MA3</v>
      </c>
      <c r="E1659" s="4">
        <f t="shared" si="2"/>
        <v>658.9166667</v>
      </c>
      <c r="F1659" s="4">
        <f t="shared" si="3"/>
        <v>219.6388889</v>
      </c>
      <c r="G1659" s="4">
        <f t="shared" si="4"/>
        <v>659</v>
      </c>
      <c r="H1659" s="4" t="str">
        <f t="shared" si="5"/>
        <v>Binh thuong</v>
      </c>
    </row>
    <row r="1660" ht="14.25" customHeight="1">
      <c r="A1660" s="4" t="s">
        <v>1677</v>
      </c>
      <c r="B1660" s="4">
        <v>17220.0</v>
      </c>
      <c r="C1660" s="4" t="s">
        <v>886</v>
      </c>
      <c r="D1660" s="4" t="str">
        <f t="shared" si="1"/>
        <v>MA3</v>
      </c>
      <c r="E1660" s="4">
        <f t="shared" si="2"/>
        <v>1435</v>
      </c>
      <c r="F1660" s="4">
        <f t="shared" si="3"/>
        <v>478.3333333</v>
      </c>
      <c r="G1660" s="4">
        <f t="shared" si="4"/>
        <v>1435</v>
      </c>
      <c r="H1660" s="4" t="str">
        <f t="shared" si="5"/>
        <v>Binh thuong</v>
      </c>
    </row>
    <row r="1661" ht="14.25" customHeight="1">
      <c r="A1661" s="4" t="s">
        <v>1678</v>
      </c>
      <c r="B1661" s="4">
        <v>13100.0</v>
      </c>
      <c r="C1661" s="4" t="s">
        <v>886</v>
      </c>
      <c r="D1661" s="4" t="str">
        <f t="shared" si="1"/>
        <v>MA3</v>
      </c>
      <c r="E1661" s="4">
        <f t="shared" si="2"/>
        <v>1091.666667</v>
      </c>
      <c r="F1661" s="4">
        <f t="shared" si="3"/>
        <v>363.8888889</v>
      </c>
      <c r="G1661" s="4">
        <f t="shared" si="4"/>
        <v>1092</v>
      </c>
      <c r="H1661" s="4" t="str">
        <f t="shared" si="5"/>
        <v>Binh thuong</v>
      </c>
    </row>
    <row r="1662" ht="14.25" customHeight="1">
      <c r="A1662" s="4" t="s">
        <v>1679</v>
      </c>
      <c r="B1662" s="4">
        <v>5918.0</v>
      </c>
      <c r="C1662" s="4" t="s">
        <v>886</v>
      </c>
      <c r="D1662" s="4" t="str">
        <f t="shared" si="1"/>
        <v>MA3</v>
      </c>
      <c r="E1662" s="4">
        <f t="shared" si="2"/>
        <v>493.1666667</v>
      </c>
      <c r="F1662" s="4">
        <f t="shared" si="3"/>
        <v>164.3888889</v>
      </c>
      <c r="G1662" s="4">
        <f t="shared" si="4"/>
        <v>493</v>
      </c>
      <c r="H1662" s="4" t="str">
        <f t="shared" si="5"/>
        <v>Binh thuong</v>
      </c>
    </row>
    <row r="1663" ht="14.25" customHeight="1">
      <c r="A1663" s="4" t="s">
        <v>1680</v>
      </c>
      <c r="B1663" s="4">
        <v>6163.0</v>
      </c>
      <c r="C1663" s="4" t="s">
        <v>886</v>
      </c>
      <c r="D1663" s="4" t="str">
        <f t="shared" si="1"/>
        <v>MA3</v>
      </c>
      <c r="E1663" s="4">
        <f t="shared" si="2"/>
        <v>513.5833333</v>
      </c>
      <c r="F1663" s="4">
        <f t="shared" si="3"/>
        <v>171.1944444</v>
      </c>
      <c r="G1663" s="4">
        <f t="shared" si="4"/>
        <v>514</v>
      </c>
      <c r="H1663" s="4" t="str">
        <f t="shared" si="5"/>
        <v>Binh thuong</v>
      </c>
    </row>
    <row r="1664" ht="14.25" customHeight="1">
      <c r="A1664" s="4" t="s">
        <v>1681</v>
      </c>
      <c r="B1664" s="4">
        <v>12366.0</v>
      </c>
      <c r="C1664" s="4" t="s">
        <v>886</v>
      </c>
      <c r="D1664" s="4" t="str">
        <f t="shared" si="1"/>
        <v>MA3</v>
      </c>
      <c r="E1664" s="4">
        <f t="shared" si="2"/>
        <v>1030.5</v>
      </c>
      <c r="F1664" s="4">
        <f t="shared" si="3"/>
        <v>343.5</v>
      </c>
      <c r="G1664" s="4">
        <f t="shared" si="4"/>
        <v>1031</v>
      </c>
      <c r="H1664" s="4" t="str">
        <f t="shared" si="5"/>
        <v>Binh thuong</v>
      </c>
    </row>
    <row r="1665" ht="14.25" customHeight="1">
      <c r="A1665" s="4" t="s">
        <v>1682</v>
      </c>
      <c r="B1665" s="4">
        <v>11914.0</v>
      </c>
      <c r="C1665" s="4" t="s">
        <v>886</v>
      </c>
      <c r="D1665" s="4" t="str">
        <f t="shared" si="1"/>
        <v>MA3</v>
      </c>
      <c r="E1665" s="4">
        <f t="shared" si="2"/>
        <v>992.8333333</v>
      </c>
      <c r="F1665" s="4">
        <f t="shared" si="3"/>
        <v>330.9444444</v>
      </c>
      <c r="G1665" s="4">
        <f t="shared" si="4"/>
        <v>993</v>
      </c>
      <c r="H1665" s="4" t="str">
        <f t="shared" si="5"/>
        <v>Binh thuong</v>
      </c>
    </row>
    <row r="1666" ht="14.25" customHeight="1">
      <c r="A1666" s="4" t="s">
        <v>1683</v>
      </c>
      <c r="B1666" s="4">
        <v>11921.0</v>
      </c>
      <c r="C1666" s="4" t="s">
        <v>886</v>
      </c>
      <c r="D1666" s="4" t="str">
        <f t="shared" si="1"/>
        <v>MA3</v>
      </c>
      <c r="E1666" s="4">
        <f t="shared" si="2"/>
        <v>993.4166667</v>
      </c>
      <c r="F1666" s="4">
        <f t="shared" si="3"/>
        <v>331.1388889</v>
      </c>
      <c r="G1666" s="4">
        <f t="shared" si="4"/>
        <v>993</v>
      </c>
      <c r="H1666" s="4" t="str">
        <f t="shared" si="5"/>
        <v>Binh thuong</v>
      </c>
    </row>
    <row r="1667" ht="14.25" customHeight="1">
      <c r="A1667" s="4" t="s">
        <v>1684</v>
      </c>
      <c r="B1667" s="4">
        <v>6085.0</v>
      </c>
      <c r="C1667" s="4" t="s">
        <v>886</v>
      </c>
      <c r="D1667" s="4" t="str">
        <f t="shared" si="1"/>
        <v>MA3</v>
      </c>
      <c r="E1667" s="4">
        <f t="shared" si="2"/>
        <v>507.0833333</v>
      </c>
      <c r="F1667" s="4">
        <f t="shared" si="3"/>
        <v>169.0277778</v>
      </c>
      <c r="G1667" s="4">
        <f t="shared" si="4"/>
        <v>507</v>
      </c>
      <c r="H1667" s="4" t="str">
        <f t="shared" si="5"/>
        <v>Binh thuong</v>
      </c>
    </row>
    <row r="1668" ht="14.25" customHeight="1">
      <c r="A1668" s="4" t="s">
        <v>1685</v>
      </c>
      <c r="B1668" s="4">
        <v>6402.0</v>
      </c>
      <c r="C1668" s="4" t="s">
        <v>886</v>
      </c>
      <c r="D1668" s="4" t="str">
        <f t="shared" si="1"/>
        <v>MA3</v>
      </c>
      <c r="E1668" s="4">
        <f t="shared" si="2"/>
        <v>533.5</v>
      </c>
      <c r="F1668" s="4">
        <f t="shared" si="3"/>
        <v>177.8333333</v>
      </c>
      <c r="G1668" s="4">
        <f t="shared" si="4"/>
        <v>534</v>
      </c>
      <c r="H1668" s="4" t="str">
        <f t="shared" si="5"/>
        <v>Binh thuong</v>
      </c>
    </row>
    <row r="1669" ht="14.25" customHeight="1">
      <c r="A1669" s="4" t="s">
        <v>1686</v>
      </c>
      <c r="B1669" s="4">
        <v>7894.0</v>
      </c>
      <c r="C1669" s="4" t="s">
        <v>886</v>
      </c>
      <c r="D1669" s="4" t="str">
        <f t="shared" si="1"/>
        <v>MA3</v>
      </c>
      <c r="E1669" s="4">
        <f t="shared" si="2"/>
        <v>657.8333333</v>
      </c>
      <c r="F1669" s="4">
        <f t="shared" si="3"/>
        <v>219.2777778</v>
      </c>
      <c r="G1669" s="4">
        <f t="shared" si="4"/>
        <v>658</v>
      </c>
      <c r="H1669" s="4" t="str">
        <f t="shared" si="5"/>
        <v>Binh thuong</v>
      </c>
    </row>
    <row r="1670" ht="14.25" customHeight="1">
      <c r="A1670" s="4" t="s">
        <v>1687</v>
      </c>
      <c r="B1670" s="4">
        <v>5104.0</v>
      </c>
      <c r="C1670" s="4" t="s">
        <v>886</v>
      </c>
      <c r="D1670" s="4" t="str">
        <f t="shared" si="1"/>
        <v>MA3</v>
      </c>
      <c r="E1670" s="4">
        <f t="shared" si="2"/>
        <v>425.3333333</v>
      </c>
      <c r="F1670" s="4">
        <f t="shared" si="3"/>
        <v>141.7777778</v>
      </c>
      <c r="G1670" s="4">
        <f t="shared" si="4"/>
        <v>425</v>
      </c>
      <c r="H1670" s="4" t="str">
        <f t="shared" si="5"/>
        <v>Binh thuong</v>
      </c>
    </row>
    <row r="1671" ht="14.25" customHeight="1">
      <c r="A1671" s="4" t="s">
        <v>1688</v>
      </c>
      <c r="B1671" s="4">
        <v>4140.0</v>
      </c>
      <c r="C1671" s="4" t="s">
        <v>886</v>
      </c>
      <c r="D1671" s="4" t="str">
        <f t="shared" si="1"/>
        <v>MA3</v>
      </c>
      <c r="E1671" s="4">
        <f t="shared" si="2"/>
        <v>345</v>
      </c>
      <c r="F1671" s="4">
        <f t="shared" si="3"/>
        <v>115</v>
      </c>
      <c r="G1671" s="4">
        <f t="shared" si="4"/>
        <v>345</v>
      </c>
      <c r="H1671" s="4" t="str">
        <f t="shared" si="5"/>
        <v>Binh thuong</v>
      </c>
    </row>
    <row r="1672" ht="14.25" customHeight="1">
      <c r="A1672" s="4" t="s">
        <v>1689</v>
      </c>
      <c r="B1672" s="4">
        <v>3505.0</v>
      </c>
      <c r="C1672" s="4" t="s">
        <v>886</v>
      </c>
      <c r="D1672" s="4" t="str">
        <f t="shared" si="1"/>
        <v>MA3</v>
      </c>
      <c r="E1672" s="4">
        <f t="shared" si="2"/>
        <v>292.0833333</v>
      </c>
      <c r="F1672" s="4">
        <f t="shared" si="3"/>
        <v>97.36111111</v>
      </c>
      <c r="G1672" s="4">
        <f t="shared" si="4"/>
        <v>292</v>
      </c>
      <c r="H1672" s="4" t="str">
        <f t="shared" si="5"/>
        <v>Binh thuong</v>
      </c>
    </row>
    <row r="1673" ht="14.25" customHeight="1">
      <c r="A1673" s="4" t="s">
        <v>1690</v>
      </c>
      <c r="B1673" s="4">
        <v>1917.0</v>
      </c>
      <c r="C1673" s="4" t="s">
        <v>886</v>
      </c>
      <c r="D1673" s="4" t="str">
        <f t="shared" si="1"/>
        <v>MA3</v>
      </c>
      <c r="E1673" s="4">
        <f t="shared" si="2"/>
        <v>159.75</v>
      </c>
      <c r="F1673" s="4">
        <f t="shared" si="3"/>
        <v>53.25</v>
      </c>
      <c r="G1673" s="4">
        <f t="shared" si="4"/>
        <v>160</v>
      </c>
      <c r="H1673" s="4" t="str">
        <f t="shared" si="5"/>
        <v>Binh thuong</v>
      </c>
    </row>
    <row r="1674" ht="14.25" customHeight="1">
      <c r="A1674" s="4" t="s">
        <v>1691</v>
      </c>
      <c r="B1674" s="4">
        <v>3824.0</v>
      </c>
      <c r="C1674" s="4" t="s">
        <v>886</v>
      </c>
      <c r="D1674" s="4" t="str">
        <f t="shared" si="1"/>
        <v>MA3</v>
      </c>
      <c r="E1674" s="4">
        <f t="shared" si="2"/>
        <v>318.6666667</v>
      </c>
      <c r="F1674" s="4">
        <f t="shared" si="3"/>
        <v>106.2222222</v>
      </c>
      <c r="G1674" s="4">
        <f t="shared" si="4"/>
        <v>319</v>
      </c>
      <c r="H1674" s="4" t="str">
        <f t="shared" si="5"/>
        <v>Binh thuong</v>
      </c>
    </row>
    <row r="1675" ht="14.25" customHeight="1">
      <c r="A1675" s="4" t="s">
        <v>1692</v>
      </c>
      <c r="B1675" s="4">
        <v>2678.0</v>
      </c>
      <c r="C1675" s="4" t="s">
        <v>886</v>
      </c>
      <c r="D1675" s="4" t="str">
        <f t="shared" si="1"/>
        <v>MA3</v>
      </c>
      <c r="E1675" s="4">
        <f t="shared" si="2"/>
        <v>223.1666667</v>
      </c>
      <c r="F1675" s="4">
        <f t="shared" si="3"/>
        <v>74.38888889</v>
      </c>
      <c r="G1675" s="4">
        <f t="shared" si="4"/>
        <v>223</v>
      </c>
      <c r="H1675" s="4" t="str">
        <f t="shared" si="5"/>
        <v>Binh thuong</v>
      </c>
    </row>
    <row r="1676" ht="14.25" customHeight="1">
      <c r="A1676" s="4" t="s">
        <v>1693</v>
      </c>
      <c r="B1676" s="4">
        <v>4081.0</v>
      </c>
      <c r="C1676" s="4" t="s">
        <v>886</v>
      </c>
      <c r="D1676" s="4" t="str">
        <f t="shared" si="1"/>
        <v>MA3</v>
      </c>
      <c r="E1676" s="4">
        <f t="shared" si="2"/>
        <v>340.0833333</v>
      </c>
      <c r="F1676" s="4">
        <f t="shared" si="3"/>
        <v>113.3611111</v>
      </c>
      <c r="G1676" s="4">
        <f t="shared" si="4"/>
        <v>340</v>
      </c>
      <c r="H1676" s="4" t="str">
        <f t="shared" si="5"/>
        <v>Binh thuong</v>
      </c>
    </row>
    <row r="1677" ht="14.25" customHeight="1">
      <c r="A1677" s="4" t="s">
        <v>1694</v>
      </c>
      <c r="B1677" s="4">
        <v>2317.0</v>
      </c>
      <c r="C1677" s="4" t="s">
        <v>886</v>
      </c>
      <c r="D1677" s="4" t="str">
        <f t="shared" si="1"/>
        <v>MA3</v>
      </c>
      <c r="E1677" s="4">
        <f t="shared" si="2"/>
        <v>193.0833333</v>
      </c>
      <c r="F1677" s="4">
        <f t="shared" si="3"/>
        <v>64.36111111</v>
      </c>
      <c r="G1677" s="4">
        <f t="shared" si="4"/>
        <v>193</v>
      </c>
      <c r="H1677" s="4" t="str">
        <f t="shared" si="5"/>
        <v>Binh thuong</v>
      </c>
    </row>
    <row r="1678" ht="14.25" customHeight="1">
      <c r="A1678" s="4" t="s">
        <v>1695</v>
      </c>
      <c r="B1678" s="4">
        <v>1781.0</v>
      </c>
      <c r="C1678" s="4" t="s">
        <v>886</v>
      </c>
      <c r="D1678" s="4" t="str">
        <f t="shared" si="1"/>
        <v>MA3</v>
      </c>
      <c r="E1678" s="4">
        <f t="shared" si="2"/>
        <v>148.4166667</v>
      </c>
      <c r="F1678" s="4">
        <f t="shared" si="3"/>
        <v>49.47222222</v>
      </c>
      <c r="G1678" s="4">
        <f t="shared" si="4"/>
        <v>148</v>
      </c>
      <c r="H1678" s="4" t="str">
        <f t="shared" si="5"/>
        <v>Binh thuong</v>
      </c>
    </row>
    <row r="1679" ht="14.25" customHeight="1">
      <c r="A1679" s="4" t="s">
        <v>1696</v>
      </c>
      <c r="B1679" s="4">
        <v>1409.0</v>
      </c>
      <c r="C1679" s="4" t="s">
        <v>886</v>
      </c>
      <c r="D1679" s="4" t="str">
        <f t="shared" si="1"/>
        <v>MA3</v>
      </c>
      <c r="E1679" s="4">
        <f t="shared" si="2"/>
        <v>117.4166667</v>
      </c>
      <c r="F1679" s="4">
        <f t="shared" si="3"/>
        <v>39.13888889</v>
      </c>
      <c r="G1679" s="4">
        <f t="shared" si="4"/>
        <v>117</v>
      </c>
      <c r="H1679" s="4" t="str">
        <f t="shared" si="5"/>
        <v>Binh thuong</v>
      </c>
    </row>
    <row r="1680" ht="14.25" customHeight="1">
      <c r="A1680" s="4" t="s">
        <v>1697</v>
      </c>
      <c r="B1680" s="4">
        <v>4234.0</v>
      </c>
      <c r="C1680" s="4" t="s">
        <v>886</v>
      </c>
      <c r="D1680" s="4" t="str">
        <f t="shared" si="1"/>
        <v>MA3</v>
      </c>
      <c r="E1680" s="4">
        <f t="shared" si="2"/>
        <v>352.8333333</v>
      </c>
      <c r="F1680" s="4">
        <f t="shared" si="3"/>
        <v>117.6111111</v>
      </c>
      <c r="G1680" s="4">
        <f t="shared" si="4"/>
        <v>353</v>
      </c>
      <c r="H1680" s="4" t="str">
        <f t="shared" si="5"/>
        <v>Binh thuong</v>
      </c>
    </row>
    <row r="1681" ht="14.25" customHeight="1">
      <c r="A1681" s="4" t="s">
        <v>1698</v>
      </c>
      <c r="B1681" s="4">
        <v>3135.0</v>
      </c>
      <c r="C1681" s="4" t="s">
        <v>886</v>
      </c>
      <c r="D1681" s="4" t="str">
        <f t="shared" si="1"/>
        <v>MA3</v>
      </c>
      <c r="E1681" s="4">
        <f t="shared" si="2"/>
        <v>261.25</v>
      </c>
      <c r="F1681" s="4">
        <f t="shared" si="3"/>
        <v>87.08333333</v>
      </c>
      <c r="G1681" s="4">
        <f t="shared" si="4"/>
        <v>261</v>
      </c>
      <c r="H1681" s="4" t="str">
        <f t="shared" si="5"/>
        <v>Binh thuong</v>
      </c>
    </row>
    <row r="1682" ht="14.25" customHeight="1">
      <c r="A1682" s="4" t="s">
        <v>1699</v>
      </c>
      <c r="B1682" s="4">
        <v>1450.0</v>
      </c>
      <c r="C1682" s="4" t="s">
        <v>886</v>
      </c>
      <c r="D1682" s="4" t="str">
        <f t="shared" si="1"/>
        <v>MA3</v>
      </c>
      <c r="E1682" s="4">
        <f t="shared" si="2"/>
        <v>120.8333333</v>
      </c>
      <c r="F1682" s="4">
        <f t="shared" si="3"/>
        <v>40.27777778</v>
      </c>
      <c r="G1682" s="4">
        <f t="shared" si="4"/>
        <v>121</v>
      </c>
      <c r="H1682" s="4" t="str">
        <f t="shared" si="5"/>
        <v>Binh thuong</v>
      </c>
    </row>
    <row r="1683" ht="14.25" customHeight="1">
      <c r="A1683" s="4" t="s">
        <v>1700</v>
      </c>
      <c r="B1683" s="4">
        <v>873.0</v>
      </c>
      <c r="C1683" s="4" t="s">
        <v>886</v>
      </c>
      <c r="D1683" s="4" t="str">
        <f t="shared" si="1"/>
        <v>MA3</v>
      </c>
      <c r="E1683" s="4">
        <f t="shared" si="2"/>
        <v>72.75</v>
      </c>
      <c r="F1683" s="4">
        <f t="shared" si="3"/>
        <v>24.25</v>
      </c>
      <c r="G1683" s="4">
        <f t="shared" si="4"/>
        <v>73</v>
      </c>
      <c r="H1683" s="4" t="str">
        <f t="shared" si="5"/>
        <v>Binh thuong</v>
      </c>
    </row>
    <row r="1684" ht="14.25" customHeight="1">
      <c r="A1684" s="4" t="s">
        <v>1701</v>
      </c>
      <c r="B1684" s="4">
        <v>2177.0</v>
      </c>
      <c r="C1684" s="4" t="s">
        <v>886</v>
      </c>
      <c r="D1684" s="4" t="str">
        <f t="shared" si="1"/>
        <v>MA3</v>
      </c>
      <c r="E1684" s="4">
        <f t="shared" si="2"/>
        <v>181.4166667</v>
      </c>
      <c r="F1684" s="4">
        <f t="shared" si="3"/>
        <v>60.47222222</v>
      </c>
      <c r="G1684" s="4">
        <f t="shared" si="4"/>
        <v>181</v>
      </c>
      <c r="H1684" s="4" t="str">
        <f t="shared" si="5"/>
        <v>Binh thuong</v>
      </c>
    </row>
    <row r="1685" ht="14.25" customHeight="1">
      <c r="A1685" s="4" t="s">
        <v>1702</v>
      </c>
      <c r="B1685" s="4">
        <v>862.0</v>
      </c>
      <c r="C1685" s="4" t="s">
        <v>886</v>
      </c>
      <c r="D1685" s="4" t="str">
        <f t="shared" si="1"/>
        <v>MA3</v>
      </c>
      <c r="E1685" s="4">
        <f t="shared" si="2"/>
        <v>71.83333333</v>
      </c>
      <c r="F1685" s="4">
        <f t="shared" si="3"/>
        <v>23.94444444</v>
      </c>
      <c r="G1685" s="4">
        <f t="shared" si="4"/>
        <v>72</v>
      </c>
      <c r="H1685" s="4" t="str">
        <f t="shared" si="5"/>
        <v>Binh thuong</v>
      </c>
    </row>
    <row r="1686" ht="14.25" customHeight="1">
      <c r="A1686" s="4" t="s">
        <v>1703</v>
      </c>
      <c r="B1686" s="4">
        <v>1390.0</v>
      </c>
      <c r="C1686" s="4" t="s">
        <v>886</v>
      </c>
      <c r="D1686" s="4" t="str">
        <f t="shared" si="1"/>
        <v>MA3</v>
      </c>
      <c r="E1686" s="4">
        <f t="shared" si="2"/>
        <v>115.8333333</v>
      </c>
      <c r="F1686" s="4">
        <f t="shared" si="3"/>
        <v>38.61111111</v>
      </c>
      <c r="G1686" s="4">
        <f t="shared" si="4"/>
        <v>116</v>
      </c>
      <c r="H1686" s="4" t="str">
        <f t="shared" si="5"/>
        <v>Binh thuong</v>
      </c>
    </row>
    <row r="1687" ht="14.25" customHeight="1">
      <c r="A1687" s="4" t="s">
        <v>1704</v>
      </c>
      <c r="B1687" s="4">
        <v>1377.0</v>
      </c>
      <c r="C1687" s="4" t="s">
        <v>886</v>
      </c>
      <c r="D1687" s="4" t="str">
        <f t="shared" si="1"/>
        <v>MA3</v>
      </c>
      <c r="E1687" s="4">
        <f t="shared" si="2"/>
        <v>114.75</v>
      </c>
      <c r="F1687" s="4">
        <f t="shared" si="3"/>
        <v>38.25</v>
      </c>
      <c r="G1687" s="4">
        <f t="shared" si="4"/>
        <v>115</v>
      </c>
      <c r="H1687" s="4" t="str">
        <f t="shared" si="5"/>
        <v>Binh thuong</v>
      </c>
    </row>
    <row r="1688" ht="14.25" customHeight="1">
      <c r="A1688" s="4" t="s">
        <v>1705</v>
      </c>
      <c r="B1688" s="4">
        <v>1873.0</v>
      </c>
      <c r="C1688" s="4" t="s">
        <v>886</v>
      </c>
      <c r="D1688" s="4" t="str">
        <f t="shared" si="1"/>
        <v>MA3</v>
      </c>
      <c r="E1688" s="4">
        <f t="shared" si="2"/>
        <v>156.0833333</v>
      </c>
      <c r="F1688" s="4">
        <f t="shared" si="3"/>
        <v>52.02777778</v>
      </c>
      <c r="G1688" s="4">
        <f t="shared" si="4"/>
        <v>156</v>
      </c>
      <c r="H1688" s="4" t="str">
        <f t="shared" si="5"/>
        <v>Binh thuong</v>
      </c>
    </row>
    <row r="1689" ht="14.25" customHeight="1">
      <c r="A1689" s="4" t="s">
        <v>1706</v>
      </c>
      <c r="B1689" s="4">
        <v>271.0</v>
      </c>
      <c r="C1689" s="4" t="s">
        <v>886</v>
      </c>
      <c r="D1689" s="4" t="str">
        <f t="shared" si="1"/>
        <v>MA3</v>
      </c>
      <c r="E1689" s="4">
        <f t="shared" si="2"/>
        <v>22.58333333</v>
      </c>
      <c r="F1689" s="4">
        <f t="shared" si="3"/>
        <v>7.527777778</v>
      </c>
      <c r="G1689" s="4">
        <f t="shared" si="4"/>
        <v>23</v>
      </c>
      <c r="H1689" s="4" t="str">
        <f t="shared" si="5"/>
        <v>Binh thuong</v>
      </c>
    </row>
    <row r="1690" ht="14.25" customHeight="1">
      <c r="A1690" s="4" t="s">
        <v>1707</v>
      </c>
      <c r="B1690" s="4">
        <v>686.0</v>
      </c>
      <c r="C1690" s="4" t="s">
        <v>886</v>
      </c>
      <c r="D1690" s="4" t="str">
        <f t="shared" si="1"/>
        <v>MA3</v>
      </c>
      <c r="E1690" s="4">
        <f t="shared" si="2"/>
        <v>57.16666667</v>
      </c>
      <c r="F1690" s="4">
        <f t="shared" si="3"/>
        <v>19.05555556</v>
      </c>
      <c r="G1690" s="4">
        <f t="shared" si="4"/>
        <v>57</v>
      </c>
      <c r="H1690" s="4" t="str">
        <f t="shared" si="5"/>
        <v>Binh thuong</v>
      </c>
    </row>
    <row r="1691" ht="14.25" customHeight="1">
      <c r="A1691" s="4" t="s">
        <v>1708</v>
      </c>
      <c r="B1691" s="4">
        <v>951.0</v>
      </c>
      <c r="C1691" s="4" t="s">
        <v>886</v>
      </c>
      <c r="D1691" s="4" t="str">
        <f t="shared" si="1"/>
        <v>MA3</v>
      </c>
      <c r="E1691" s="4">
        <f t="shared" si="2"/>
        <v>79.25</v>
      </c>
      <c r="F1691" s="4">
        <f t="shared" si="3"/>
        <v>26.41666667</v>
      </c>
      <c r="G1691" s="4">
        <f t="shared" si="4"/>
        <v>79</v>
      </c>
      <c r="H1691" s="4" t="str">
        <f t="shared" si="5"/>
        <v>Binh thuong</v>
      </c>
    </row>
    <row r="1692" ht="14.25" customHeight="1">
      <c r="A1692" s="4" t="s">
        <v>1709</v>
      </c>
      <c r="B1692" s="4">
        <v>2922.0</v>
      </c>
      <c r="C1692" s="4" t="s">
        <v>886</v>
      </c>
      <c r="D1692" s="4" t="str">
        <f t="shared" si="1"/>
        <v>MA3</v>
      </c>
      <c r="E1692" s="4">
        <f t="shared" si="2"/>
        <v>243.5</v>
      </c>
      <c r="F1692" s="4">
        <f t="shared" si="3"/>
        <v>81.16666667</v>
      </c>
      <c r="G1692" s="4">
        <f t="shared" si="4"/>
        <v>244</v>
      </c>
      <c r="H1692" s="4" t="str">
        <f t="shared" si="5"/>
        <v>Binh thuong</v>
      </c>
    </row>
    <row r="1693" ht="14.25" customHeight="1">
      <c r="A1693" s="4" t="s">
        <v>1710</v>
      </c>
      <c r="B1693" s="4">
        <v>1038.0</v>
      </c>
      <c r="C1693" s="4" t="s">
        <v>886</v>
      </c>
      <c r="D1693" s="4" t="str">
        <f t="shared" si="1"/>
        <v>MA3</v>
      </c>
      <c r="E1693" s="4">
        <f t="shared" si="2"/>
        <v>86.5</v>
      </c>
      <c r="F1693" s="4">
        <f t="shared" si="3"/>
        <v>28.83333333</v>
      </c>
      <c r="G1693" s="4">
        <f t="shared" si="4"/>
        <v>87</v>
      </c>
      <c r="H1693" s="4" t="str">
        <f t="shared" si="5"/>
        <v>Binh thuong</v>
      </c>
    </row>
    <row r="1694" ht="14.25" customHeight="1">
      <c r="A1694" s="4" t="s">
        <v>1711</v>
      </c>
      <c r="B1694" s="4">
        <v>2369.0</v>
      </c>
      <c r="C1694" s="4" t="s">
        <v>886</v>
      </c>
      <c r="D1694" s="4" t="str">
        <f t="shared" si="1"/>
        <v>MA3</v>
      </c>
      <c r="E1694" s="4">
        <f t="shared" si="2"/>
        <v>197.4166667</v>
      </c>
      <c r="F1694" s="4">
        <f t="shared" si="3"/>
        <v>65.80555556</v>
      </c>
      <c r="G1694" s="4">
        <f t="shared" si="4"/>
        <v>197</v>
      </c>
      <c r="H1694" s="4" t="str">
        <f t="shared" si="5"/>
        <v>Binh thuong</v>
      </c>
    </row>
    <row r="1695" ht="14.25" customHeight="1">
      <c r="A1695" s="4" t="s">
        <v>1712</v>
      </c>
      <c r="B1695" s="4">
        <v>2458.0</v>
      </c>
      <c r="C1695" s="4" t="s">
        <v>886</v>
      </c>
      <c r="D1695" s="4" t="str">
        <f t="shared" si="1"/>
        <v>MA3</v>
      </c>
      <c r="E1695" s="4">
        <f t="shared" si="2"/>
        <v>204.8333333</v>
      </c>
      <c r="F1695" s="4">
        <f t="shared" si="3"/>
        <v>68.27777778</v>
      </c>
      <c r="G1695" s="4">
        <f t="shared" si="4"/>
        <v>205</v>
      </c>
      <c r="H1695" s="4" t="str">
        <f t="shared" si="5"/>
        <v>Binh thuong</v>
      </c>
    </row>
    <row r="1696" ht="14.25" customHeight="1">
      <c r="A1696" s="4" t="s">
        <v>1713</v>
      </c>
      <c r="B1696" s="4">
        <v>1331.0</v>
      </c>
      <c r="C1696" s="4" t="s">
        <v>886</v>
      </c>
      <c r="D1696" s="4" t="str">
        <f t="shared" si="1"/>
        <v>MA3</v>
      </c>
      <c r="E1696" s="4">
        <f t="shared" si="2"/>
        <v>110.9166667</v>
      </c>
      <c r="F1696" s="4">
        <f t="shared" si="3"/>
        <v>36.97222222</v>
      </c>
      <c r="G1696" s="4">
        <f t="shared" si="4"/>
        <v>111</v>
      </c>
      <c r="H1696" s="4" t="str">
        <f t="shared" si="5"/>
        <v>Binh thuong</v>
      </c>
    </row>
    <row r="1697" ht="14.25" customHeight="1">
      <c r="A1697" s="4" t="s">
        <v>1714</v>
      </c>
      <c r="B1697" s="4">
        <v>8581.0</v>
      </c>
      <c r="C1697" s="4" t="s">
        <v>886</v>
      </c>
      <c r="D1697" s="4" t="str">
        <f t="shared" si="1"/>
        <v>MA3</v>
      </c>
      <c r="E1697" s="4">
        <f t="shared" si="2"/>
        <v>715.0833333</v>
      </c>
      <c r="F1697" s="4">
        <f t="shared" si="3"/>
        <v>238.3611111</v>
      </c>
      <c r="G1697" s="4">
        <f t="shared" si="4"/>
        <v>715</v>
      </c>
      <c r="H1697" s="4" t="str">
        <f t="shared" si="5"/>
        <v>Binh thuong</v>
      </c>
    </row>
    <row r="1698" ht="14.25" customHeight="1">
      <c r="A1698" s="4" t="s">
        <v>1715</v>
      </c>
      <c r="B1698" s="4">
        <v>10202.0</v>
      </c>
      <c r="C1698" s="4" t="s">
        <v>886</v>
      </c>
      <c r="D1698" s="4" t="str">
        <f t="shared" si="1"/>
        <v>MA3</v>
      </c>
      <c r="E1698" s="4">
        <f t="shared" si="2"/>
        <v>850.1666667</v>
      </c>
      <c r="F1698" s="4">
        <f t="shared" si="3"/>
        <v>283.3888889</v>
      </c>
      <c r="G1698" s="4">
        <f t="shared" si="4"/>
        <v>850</v>
      </c>
      <c r="H1698" s="4" t="str">
        <f t="shared" si="5"/>
        <v>Binh thuong</v>
      </c>
    </row>
    <row r="1699" ht="14.25" customHeight="1">
      <c r="A1699" s="4" t="s">
        <v>1716</v>
      </c>
      <c r="B1699" s="4">
        <v>14137.0</v>
      </c>
      <c r="C1699" s="4" t="s">
        <v>886</v>
      </c>
      <c r="D1699" s="4" t="str">
        <f t="shared" si="1"/>
        <v>MA3</v>
      </c>
      <c r="E1699" s="4">
        <f t="shared" si="2"/>
        <v>1178.083333</v>
      </c>
      <c r="F1699" s="4">
        <f t="shared" si="3"/>
        <v>392.6944444</v>
      </c>
      <c r="G1699" s="4">
        <f t="shared" si="4"/>
        <v>1178</v>
      </c>
      <c r="H1699" s="4" t="str">
        <f t="shared" si="5"/>
        <v>Binh thuong</v>
      </c>
    </row>
    <row r="1700" ht="14.25" customHeight="1">
      <c r="A1700" s="4" t="s">
        <v>1717</v>
      </c>
      <c r="B1700" s="4">
        <v>15986.0</v>
      </c>
      <c r="C1700" s="4" t="s">
        <v>886</v>
      </c>
      <c r="D1700" s="4" t="str">
        <f t="shared" si="1"/>
        <v>MA3</v>
      </c>
      <c r="E1700" s="4">
        <f t="shared" si="2"/>
        <v>1332.166667</v>
      </c>
      <c r="F1700" s="4">
        <f t="shared" si="3"/>
        <v>444.0555556</v>
      </c>
      <c r="G1700" s="4">
        <f t="shared" si="4"/>
        <v>1332</v>
      </c>
      <c r="H1700" s="4" t="str">
        <f t="shared" si="5"/>
        <v>Binh thuong</v>
      </c>
    </row>
    <row r="1701" ht="14.25" customHeight="1">
      <c r="A1701" s="4" t="s">
        <v>1718</v>
      </c>
      <c r="B1701" s="4">
        <v>16711.0</v>
      </c>
      <c r="C1701" s="4" t="s">
        <v>886</v>
      </c>
      <c r="D1701" s="4" t="str">
        <f t="shared" si="1"/>
        <v>MA3</v>
      </c>
      <c r="E1701" s="4">
        <f t="shared" si="2"/>
        <v>1392.583333</v>
      </c>
      <c r="F1701" s="4">
        <f t="shared" si="3"/>
        <v>464.1944444</v>
      </c>
      <c r="G1701" s="4">
        <f t="shared" si="4"/>
        <v>1393</v>
      </c>
      <c r="H1701" s="4" t="str">
        <f t="shared" si="5"/>
        <v>Binh thuong</v>
      </c>
    </row>
    <row r="1702" ht="14.25" customHeight="1">
      <c r="A1702" s="4" t="s">
        <v>1719</v>
      </c>
      <c r="B1702" s="4">
        <v>6314.0</v>
      </c>
      <c r="C1702" s="4" t="s">
        <v>886</v>
      </c>
      <c r="D1702" s="4" t="str">
        <f t="shared" si="1"/>
        <v>MA3</v>
      </c>
      <c r="E1702" s="4">
        <f t="shared" si="2"/>
        <v>526.1666667</v>
      </c>
      <c r="F1702" s="4">
        <f t="shared" si="3"/>
        <v>175.3888889</v>
      </c>
      <c r="G1702" s="4">
        <f t="shared" si="4"/>
        <v>526</v>
      </c>
      <c r="H1702" s="4" t="str">
        <f t="shared" si="5"/>
        <v>Binh thuong</v>
      </c>
    </row>
    <row r="1703" ht="14.25" customHeight="1">
      <c r="A1703" s="4" t="s">
        <v>1720</v>
      </c>
      <c r="B1703" s="4">
        <v>2979.0</v>
      </c>
      <c r="C1703" s="4" t="s">
        <v>886</v>
      </c>
      <c r="D1703" s="4" t="str">
        <f t="shared" si="1"/>
        <v>MA3</v>
      </c>
      <c r="E1703" s="4">
        <f t="shared" si="2"/>
        <v>248.25</v>
      </c>
      <c r="F1703" s="4">
        <f t="shared" si="3"/>
        <v>82.75</v>
      </c>
      <c r="G1703" s="4">
        <f t="shared" si="4"/>
        <v>248</v>
      </c>
      <c r="H1703" s="4" t="str">
        <f t="shared" si="5"/>
        <v>Binh thuong</v>
      </c>
    </row>
    <row r="1704" ht="14.25" customHeight="1">
      <c r="A1704" s="4" t="s">
        <v>1721</v>
      </c>
      <c r="B1704" s="4">
        <v>3440.0</v>
      </c>
      <c r="C1704" s="4" t="s">
        <v>886</v>
      </c>
      <c r="D1704" s="4" t="str">
        <f t="shared" si="1"/>
        <v>MA3</v>
      </c>
      <c r="E1704" s="4">
        <f t="shared" si="2"/>
        <v>286.6666667</v>
      </c>
      <c r="F1704" s="4">
        <f t="shared" si="3"/>
        <v>95.55555556</v>
      </c>
      <c r="G1704" s="4">
        <f t="shared" si="4"/>
        <v>287</v>
      </c>
      <c r="H1704" s="4" t="str">
        <f t="shared" si="5"/>
        <v>Binh thuong</v>
      </c>
    </row>
    <row r="1705" ht="14.25" customHeight="1">
      <c r="A1705" s="4" t="s">
        <v>1722</v>
      </c>
      <c r="B1705" s="4">
        <v>1509.0</v>
      </c>
      <c r="C1705" s="4" t="s">
        <v>886</v>
      </c>
      <c r="D1705" s="4" t="str">
        <f t="shared" si="1"/>
        <v>MA3</v>
      </c>
      <c r="E1705" s="4">
        <f t="shared" si="2"/>
        <v>125.75</v>
      </c>
      <c r="F1705" s="4">
        <f t="shared" si="3"/>
        <v>41.91666667</v>
      </c>
      <c r="G1705" s="4">
        <f t="shared" si="4"/>
        <v>126</v>
      </c>
      <c r="H1705" s="4" t="str">
        <f t="shared" si="5"/>
        <v>Binh thuong</v>
      </c>
    </row>
    <row r="1706" ht="14.25" customHeight="1">
      <c r="A1706" s="4" t="s">
        <v>1723</v>
      </c>
      <c r="B1706" s="4">
        <v>5097.0</v>
      </c>
      <c r="C1706" s="4" t="s">
        <v>886</v>
      </c>
      <c r="D1706" s="4" t="str">
        <f t="shared" si="1"/>
        <v>MA3</v>
      </c>
      <c r="E1706" s="4">
        <f t="shared" si="2"/>
        <v>424.75</v>
      </c>
      <c r="F1706" s="4">
        <f t="shared" si="3"/>
        <v>141.5833333</v>
      </c>
      <c r="G1706" s="4">
        <f t="shared" si="4"/>
        <v>425</v>
      </c>
      <c r="H1706" s="4" t="str">
        <f t="shared" si="5"/>
        <v>Binh thuong</v>
      </c>
    </row>
    <row r="1707" ht="14.25" customHeight="1">
      <c r="A1707" s="4" t="s">
        <v>1724</v>
      </c>
      <c r="B1707" s="4">
        <v>2380.0</v>
      </c>
      <c r="C1707" s="4" t="s">
        <v>886</v>
      </c>
      <c r="D1707" s="4" t="str">
        <f t="shared" si="1"/>
        <v>MA3</v>
      </c>
      <c r="E1707" s="4">
        <f t="shared" si="2"/>
        <v>198.3333333</v>
      </c>
      <c r="F1707" s="4">
        <f t="shared" si="3"/>
        <v>66.11111111</v>
      </c>
      <c r="G1707" s="4">
        <f t="shared" si="4"/>
        <v>198</v>
      </c>
      <c r="H1707" s="4" t="str">
        <f t="shared" si="5"/>
        <v>Binh thuong</v>
      </c>
    </row>
    <row r="1708" ht="14.25" customHeight="1">
      <c r="A1708" s="4" t="s">
        <v>1725</v>
      </c>
      <c r="B1708" s="4">
        <v>2335.0</v>
      </c>
      <c r="C1708" s="4" t="s">
        <v>886</v>
      </c>
      <c r="D1708" s="4" t="str">
        <f t="shared" si="1"/>
        <v>MA3</v>
      </c>
      <c r="E1708" s="4">
        <f t="shared" si="2"/>
        <v>194.5833333</v>
      </c>
      <c r="F1708" s="4">
        <f t="shared" si="3"/>
        <v>64.86111111</v>
      </c>
      <c r="G1708" s="4">
        <f t="shared" si="4"/>
        <v>195</v>
      </c>
      <c r="H1708" s="4" t="str">
        <f t="shared" si="5"/>
        <v>Binh thuong</v>
      </c>
    </row>
    <row r="1709" ht="14.25" customHeight="1">
      <c r="A1709" s="4" t="s">
        <v>1726</v>
      </c>
      <c r="B1709" s="4">
        <v>2301.0</v>
      </c>
      <c r="C1709" s="4" t="s">
        <v>886</v>
      </c>
      <c r="D1709" s="4" t="str">
        <f t="shared" si="1"/>
        <v>MA3</v>
      </c>
      <c r="E1709" s="4">
        <f t="shared" si="2"/>
        <v>191.75</v>
      </c>
      <c r="F1709" s="4">
        <f t="shared" si="3"/>
        <v>63.91666667</v>
      </c>
      <c r="G1709" s="4">
        <f t="shared" si="4"/>
        <v>192</v>
      </c>
      <c r="H1709" s="4" t="str">
        <f t="shared" si="5"/>
        <v>Binh thuong</v>
      </c>
    </row>
    <row r="1710" ht="14.25" customHeight="1">
      <c r="A1710" s="4" t="s">
        <v>1727</v>
      </c>
      <c r="B1710" s="4">
        <v>2428.0</v>
      </c>
      <c r="C1710" s="4" t="s">
        <v>886</v>
      </c>
      <c r="D1710" s="4" t="str">
        <f t="shared" si="1"/>
        <v>MA3</v>
      </c>
      <c r="E1710" s="4">
        <f t="shared" si="2"/>
        <v>202.3333333</v>
      </c>
      <c r="F1710" s="4">
        <f t="shared" si="3"/>
        <v>67.44444444</v>
      </c>
      <c r="G1710" s="4">
        <f t="shared" si="4"/>
        <v>202</v>
      </c>
      <c r="H1710" s="4" t="str">
        <f t="shared" si="5"/>
        <v>Binh thuong</v>
      </c>
    </row>
    <row r="1711" ht="14.25" customHeight="1">
      <c r="A1711" s="4" t="s">
        <v>1728</v>
      </c>
      <c r="B1711" s="4">
        <v>3298.0</v>
      </c>
      <c r="C1711" s="4" t="s">
        <v>886</v>
      </c>
      <c r="D1711" s="4" t="str">
        <f t="shared" si="1"/>
        <v>MA3</v>
      </c>
      <c r="E1711" s="4">
        <f t="shared" si="2"/>
        <v>274.8333333</v>
      </c>
      <c r="F1711" s="4">
        <f t="shared" si="3"/>
        <v>91.61111111</v>
      </c>
      <c r="G1711" s="4">
        <f t="shared" si="4"/>
        <v>275</v>
      </c>
      <c r="H1711" s="4" t="str">
        <f t="shared" si="5"/>
        <v>Binh thuong</v>
      </c>
    </row>
    <row r="1712" ht="14.25" customHeight="1">
      <c r="A1712" s="4" t="s">
        <v>1729</v>
      </c>
      <c r="B1712" s="4">
        <v>3814.0</v>
      </c>
      <c r="C1712" s="4" t="s">
        <v>886</v>
      </c>
      <c r="D1712" s="4" t="str">
        <f t="shared" si="1"/>
        <v>MA3</v>
      </c>
      <c r="E1712" s="4">
        <f t="shared" si="2"/>
        <v>317.8333333</v>
      </c>
      <c r="F1712" s="4">
        <f t="shared" si="3"/>
        <v>105.9444444</v>
      </c>
      <c r="G1712" s="4">
        <f t="shared" si="4"/>
        <v>318</v>
      </c>
      <c r="H1712" s="4" t="str">
        <f t="shared" si="5"/>
        <v>Binh thuong</v>
      </c>
    </row>
    <row r="1713" ht="14.25" customHeight="1">
      <c r="A1713" s="4" t="s">
        <v>1730</v>
      </c>
      <c r="B1713" s="4">
        <v>2990.0</v>
      </c>
      <c r="C1713" s="4" t="s">
        <v>886</v>
      </c>
      <c r="D1713" s="4" t="str">
        <f t="shared" si="1"/>
        <v>MA3</v>
      </c>
      <c r="E1713" s="4">
        <f t="shared" si="2"/>
        <v>249.1666667</v>
      </c>
      <c r="F1713" s="4">
        <f t="shared" si="3"/>
        <v>83.05555556</v>
      </c>
      <c r="G1713" s="4">
        <f t="shared" si="4"/>
        <v>249</v>
      </c>
      <c r="H1713" s="4" t="str">
        <f t="shared" si="5"/>
        <v>Binh thuong</v>
      </c>
    </row>
    <row r="1714" ht="14.25" customHeight="1">
      <c r="A1714" s="4" t="s">
        <v>1731</v>
      </c>
      <c r="B1714" s="4">
        <v>4313.0</v>
      </c>
      <c r="C1714" s="4" t="s">
        <v>886</v>
      </c>
      <c r="D1714" s="4" t="str">
        <f t="shared" si="1"/>
        <v>MA3</v>
      </c>
      <c r="E1714" s="4">
        <f t="shared" si="2"/>
        <v>359.4166667</v>
      </c>
      <c r="F1714" s="4">
        <f t="shared" si="3"/>
        <v>119.8055556</v>
      </c>
      <c r="G1714" s="4">
        <f t="shared" si="4"/>
        <v>359</v>
      </c>
      <c r="H1714" s="4" t="str">
        <f t="shared" si="5"/>
        <v>Binh thuong</v>
      </c>
    </row>
    <row r="1715" ht="14.25" customHeight="1">
      <c r="A1715" s="4" t="s">
        <v>1732</v>
      </c>
      <c r="B1715" s="4">
        <v>969.0</v>
      </c>
      <c r="C1715" s="4" t="s">
        <v>886</v>
      </c>
      <c r="D1715" s="4" t="str">
        <f t="shared" si="1"/>
        <v>MA3</v>
      </c>
      <c r="E1715" s="4">
        <f t="shared" si="2"/>
        <v>80.75</v>
      </c>
      <c r="F1715" s="4">
        <f t="shared" si="3"/>
        <v>26.91666667</v>
      </c>
      <c r="G1715" s="4">
        <f t="shared" si="4"/>
        <v>81</v>
      </c>
      <c r="H1715" s="4" t="str">
        <f t="shared" si="5"/>
        <v>Binh thuong</v>
      </c>
    </row>
    <row r="1716" ht="14.25" customHeight="1">
      <c r="A1716" s="4" t="s">
        <v>1733</v>
      </c>
      <c r="B1716" s="4">
        <v>5408.0</v>
      </c>
      <c r="C1716" s="4" t="s">
        <v>886</v>
      </c>
      <c r="D1716" s="4" t="str">
        <f t="shared" si="1"/>
        <v>MA3</v>
      </c>
      <c r="E1716" s="4">
        <f t="shared" si="2"/>
        <v>450.6666667</v>
      </c>
      <c r="F1716" s="4">
        <f t="shared" si="3"/>
        <v>150.2222222</v>
      </c>
      <c r="G1716" s="4">
        <f t="shared" si="4"/>
        <v>451</v>
      </c>
      <c r="H1716" s="4" t="str">
        <f t="shared" si="5"/>
        <v>Binh thuong</v>
      </c>
    </row>
    <row r="1717" ht="14.25" customHeight="1">
      <c r="A1717" s="4" t="s">
        <v>1734</v>
      </c>
      <c r="B1717" s="4">
        <v>3602.0</v>
      </c>
      <c r="C1717" s="4" t="s">
        <v>886</v>
      </c>
      <c r="D1717" s="4" t="str">
        <f t="shared" si="1"/>
        <v>MA3</v>
      </c>
      <c r="E1717" s="4">
        <f t="shared" si="2"/>
        <v>300.1666667</v>
      </c>
      <c r="F1717" s="4">
        <f t="shared" si="3"/>
        <v>100.0555556</v>
      </c>
      <c r="G1717" s="4">
        <f t="shared" si="4"/>
        <v>300</v>
      </c>
      <c r="H1717" s="4" t="str">
        <f t="shared" si="5"/>
        <v>Binh thuong</v>
      </c>
    </row>
    <row r="1718" ht="14.25" customHeight="1">
      <c r="A1718" s="4" t="s">
        <v>1735</v>
      </c>
      <c r="B1718" s="4">
        <v>6190.0</v>
      </c>
      <c r="C1718" s="4" t="s">
        <v>886</v>
      </c>
      <c r="D1718" s="4" t="str">
        <f t="shared" si="1"/>
        <v>MA3</v>
      </c>
      <c r="E1718" s="4">
        <f t="shared" si="2"/>
        <v>515.8333333</v>
      </c>
      <c r="F1718" s="4">
        <f t="shared" si="3"/>
        <v>171.9444444</v>
      </c>
      <c r="G1718" s="4">
        <f t="shared" si="4"/>
        <v>516</v>
      </c>
      <c r="H1718" s="4" t="str">
        <f t="shared" si="5"/>
        <v>Binh thuong</v>
      </c>
    </row>
    <row r="1719" ht="14.25" customHeight="1">
      <c r="A1719" s="4" t="s">
        <v>1736</v>
      </c>
      <c r="B1719" s="4">
        <v>20208.0</v>
      </c>
      <c r="C1719" s="4" t="s">
        <v>886</v>
      </c>
      <c r="D1719" s="4" t="str">
        <f t="shared" si="1"/>
        <v>MA3</v>
      </c>
      <c r="E1719" s="4">
        <f t="shared" si="2"/>
        <v>1684</v>
      </c>
      <c r="F1719" s="4">
        <f t="shared" si="3"/>
        <v>561.3333333</v>
      </c>
      <c r="G1719" s="4">
        <f t="shared" si="4"/>
        <v>1684</v>
      </c>
      <c r="H1719" s="4" t="str">
        <f t="shared" si="5"/>
        <v>Binh thuong</v>
      </c>
    </row>
    <row r="1720" ht="14.25" customHeight="1">
      <c r="A1720" s="4" t="s">
        <v>1737</v>
      </c>
      <c r="B1720" s="4">
        <v>4753.0</v>
      </c>
      <c r="C1720" s="4" t="s">
        <v>886</v>
      </c>
      <c r="D1720" s="4" t="str">
        <f t="shared" si="1"/>
        <v>MA3</v>
      </c>
      <c r="E1720" s="4">
        <f t="shared" si="2"/>
        <v>396.0833333</v>
      </c>
      <c r="F1720" s="4">
        <f t="shared" si="3"/>
        <v>132.0277778</v>
      </c>
      <c r="G1720" s="4">
        <f t="shared" si="4"/>
        <v>396</v>
      </c>
      <c r="H1720" s="4" t="str">
        <f t="shared" si="5"/>
        <v>Binh thuong</v>
      </c>
    </row>
    <row r="1721" ht="14.25" customHeight="1">
      <c r="A1721" s="4" t="s">
        <v>1738</v>
      </c>
      <c r="B1721" s="4">
        <v>3676.0</v>
      </c>
      <c r="C1721" s="4" t="s">
        <v>886</v>
      </c>
      <c r="D1721" s="4" t="str">
        <f t="shared" si="1"/>
        <v>MA3</v>
      </c>
      <c r="E1721" s="4">
        <f t="shared" si="2"/>
        <v>306.3333333</v>
      </c>
      <c r="F1721" s="4">
        <f t="shared" si="3"/>
        <v>102.1111111</v>
      </c>
      <c r="G1721" s="4">
        <f t="shared" si="4"/>
        <v>306</v>
      </c>
      <c r="H1721" s="4" t="str">
        <f t="shared" si="5"/>
        <v>Binh thuong</v>
      </c>
    </row>
    <row r="1722" ht="14.25" customHeight="1">
      <c r="A1722" s="4" t="s">
        <v>1739</v>
      </c>
      <c r="B1722" s="4">
        <v>5456.0</v>
      </c>
      <c r="C1722" s="4" t="s">
        <v>886</v>
      </c>
      <c r="D1722" s="4" t="str">
        <f t="shared" si="1"/>
        <v>MA3</v>
      </c>
      <c r="E1722" s="4">
        <f t="shared" si="2"/>
        <v>454.6666667</v>
      </c>
      <c r="F1722" s="4">
        <f t="shared" si="3"/>
        <v>151.5555556</v>
      </c>
      <c r="G1722" s="4">
        <f t="shared" si="4"/>
        <v>455</v>
      </c>
      <c r="H1722" s="4" t="str">
        <f t="shared" si="5"/>
        <v>Binh thuong</v>
      </c>
    </row>
    <row r="1723" ht="14.25" customHeight="1">
      <c r="A1723" s="4" t="s">
        <v>1740</v>
      </c>
      <c r="B1723" s="4">
        <v>8116.0</v>
      </c>
      <c r="C1723" s="4" t="s">
        <v>886</v>
      </c>
      <c r="D1723" s="4" t="str">
        <f t="shared" si="1"/>
        <v>MA3</v>
      </c>
      <c r="E1723" s="4">
        <f t="shared" si="2"/>
        <v>676.3333333</v>
      </c>
      <c r="F1723" s="4">
        <f t="shared" si="3"/>
        <v>225.4444444</v>
      </c>
      <c r="G1723" s="4">
        <f t="shared" si="4"/>
        <v>676</v>
      </c>
      <c r="H1723" s="4" t="str">
        <f t="shared" si="5"/>
        <v>Binh thuong</v>
      </c>
    </row>
    <row r="1724" ht="14.25" customHeight="1">
      <c r="A1724" s="4" t="s">
        <v>1741</v>
      </c>
      <c r="B1724" s="4">
        <v>565650.0</v>
      </c>
      <c r="C1724" s="4" t="s">
        <v>886</v>
      </c>
      <c r="D1724" s="4" t="str">
        <f t="shared" si="1"/>
        <v>MA3</v>
      </c>
      <c r="E1724" s="4">
        <f t="shared" si="2"/>
        <v>47137.5</v>
      </c>
      <c r="F1724" s="4">
        <f t="shared" si="3"/>
        <v>15712.5</v>
      </c>
      <c r="G1724" s="4">
        <f t="shared" si="4"/>
        <v>47138</v>
      </c>
      <c r="H1724" s="4" t="str">
        <f t="shared" si="5"/>
        <v>Uu tien cao</v>
      </c>
    </row>
    <row r="1725" ht="14.25" customHeight="1">
      <c r="A1725" s="4" t="s">
        <v>1742</v>
      </c>
      <c r="B1725" s="4">
        <v>19550.0</v>
      </c>
      <c r="C1725" s="4" t="s">
        <v>886</v>
      </c>
      <c r="D1725" s="4" t="str">
        <f t="shared" si="1"/>
        <v>MA3</v>
      </c>
      <c r="E1725" s="4">
        <f t="shared" si="2"/>
        <v>1629.166667</v>
      </c>
      <c r="F1725" s="4">
        <f t="shared" si="3"/>
        <v>543.0555556</v>
      </c>
      <c r="G1725" s="4">
        <f t="shared" si="4"/>
        <v>1629</v>
      </c>
      <c r="H1725" s="4" t="str">
        <f t="shared" si="5"/>
        <v>Binh thuong</v>
      </c>
    </row>
    <row r="1726" ht="14.25" customHeight="1">
      <c r="A1726" s="4" t="s">
        <v>1743</v>
      </c>
      <c r="B1726" s="4">
        <v>13461.0</v>
      </c>
      <c r="C1726" s="4" t="s">
        <v>886</v>
      </c>
      <c r="D1726" s="4" t="str">
        <f t="shared" si="1"/>
        <v>MA3</v>
      </c>
      <c r="E1726" s="4">
        <f t="shared" si="2"/>
        <v>1121.75</v>
      </c>
      <c r="F1726" s="4">
        <f t="shared" si="3"/>
        <v>373.9166667</v>
      </c>
      <c r="G1726" s="4">
        <f t="shared" si="4"/>
        <v>1122</v>
      </c>
      <c r="H1726" s="4" t="str">
        <f t="shared" si="5"/>
        <v>Binh thuong</v>
      </c>
    </row>
    <row r="1727" ht="14.25" customHeight="1">
      <c r="A1727" s="4" t="s">
        <v>1744</v>
      </c>
      <c r="B1727" s="4">
        <v>428254.0</v>
      </c>
      <c r="C1727" s="4" t="s">
        <v>886</v>
      </c>
      <c r="D1727" s="4" t="str">
        <f t="shared" si="1"/>
        <v>MA3</v>
      </c>
      <c r="E1727" s="4">
        <f t="shared" si="2"/>
        <v>35687.83333</v>
      </c>
      <c r="F1727" s="4">
        <f t="shared" si="3"/>
        <v>11895.94444</v>
      </c>
      <c r="G1727" s="4">
        <f t="shared" si="4"/>
        <v>35688</v>
      </c>
      <c r="H1727" s="4" t="str">
        <f t="shared" si="5"/>
        <v>Uu tien cao</v>
      </c>
    </row>
    <row r="1728" ht="14.25" customHeight="1">
      <c r="A1728" s="4" t="s">
        <v>1745</v>
      </c>
      <c r="B1728" s="4">
        <v>19543.0</v>
      </c>
      <c r="C1728" s="4" t="s">
        <v>886</v>
      </c>
      <c r="D1728" s="4" t="str">
        <f t="shared" si="1"/>
        <v>MA3</v>
      </c>
      <c r="E1728" s="4">
        <f t="shared" si="2"/>
        <v>1628.583333</v>
      </c>
      <c r="F1728" s="4">
        <f t="shared" si="3"/>
        <v>542.8611111</v>
      </c>
      <c r="G1728" s="4">
        <f t="shared" si="4"/>
        <v>1629</v>
      </c>
      <c r="H1728" s="4" t="str">
        <f t="shared" si="5"/>
        <v>Binh thuong</v>
      </c>
    </row>
    <row r="1729" ht="14.25" customHeight="1">
      <c r="A1729" s="4" t="s">
        <v>1746</v>
      </c>
      <c r="B1729" s="4">
        <v>83473.0</v>
      </c>
      <c r="C1729" s="4" t="s">
        <v>886</v>
      </c>
      <c r="D1729" s="4" t="str">
        <f t="shared" si="1"/>
        <v>MA3</v>
      </c>
      <c r="E1729" s="4">
        <f t="shared" si="2"/>
        <v>6956.083333</v>
      </c>
      <c r="F1729" s="4">
        <f t="shared" si="3"/>
        <v>2318.694444</v>
      </c>
      <c r="G1729" s="4">
        <f t="shared" si="4"/>
        <v>6956</v>
      </c>
      <c r="H1729" s="4" t="str">
        <f t="shared" si="5"/>
        <v>Uu tien cao</v>
      </c>
    </row>
    <row r="1730" ht="14.25" customHeight="1">
      <c r="A1730" s="4" t="s">
        <v>1747</v>
      </c>
      <c r="B1730" s="4">
        <v>292194.0</v>
      </c>
      <c r="C1730" s="4" t="s">
        <v>886</v>
      </c>
      <c r="D1730" s="4" t="str">
        <f t="shared" si="1"/>
        <v>MA3</v>
      </c>
      <c r="E1730" s="4">
        <f t="shared" si="2"/>
        <v>24349.5</v>
      </c>
      <c r="F1730" s="4">
        <f t="shared" si="3"/>
        <v>8116.5</v>
      </c>
      <c r="G1730" s="4">
        <f t="shared" si="4"/>
        <v>24350</v>
      </c>
      <c r="H1730" s="4" t="str">
        <f t="shared" si="5"/>
        <v>Uu tien cao</v>
      </c>
    </row>
    <row r="1731" ht="14.25" customHeight="1">
      <c r="A1731" s="4" t="s">
        <v>1748</v>
      </c>
      <c r="B1731" s="4">
        <v>15103.0</v>
      </c>
      <c r="C1731" s="4" t="s">
        <v>886</v>
      </c>
      <c r="D1731" s="4" t="str">
        <f t="shared" si="1"/>
        <v>MA3</v>
      </c>
      <c r="E1731" s="4">
        <f t="shared" si="2"/>
        <v>1258.583333</v>
      </c>
      <c r="F1731" s="4">
        <f t="shared" si="3"/>
        <v>419.5277778</v>
      </c>
      <c r="G1731" s="4">
        <f t="shared" si="4"/>
        <v>1259</v>
      </c>
      <c r="H1731" s="4" t="str">
        <f t="shared" si="5"/>
        <v>Binh thuong</v>
      </c>
    </row>
    <row r="1732" ht="14.25" customHeight="1">
      <c r="A1732" s="4" t="s">
        <v>1749</v>
      </c>
      <c r="B1732" s="4">
        <v>51947.0</v>
      </c>
      <c r="C1732" s="4" t="s">
        <v>886</v>
      </c>
      <c r="D1732" s="4" t="str">
        <f t="shared" si="1"/>
        <v>MA3</v>
      </c>
      <c r="E1732" s="4">
        <f t="shared" si="2"/>
        <v>4328.916667</v>
      </c>
      <c r="F1732" s="4">
        <f t="shared" si="3"/>
        <v>1442.972222</v>
      </c>
      <c r="G1732" s="4">
        <f t="shared" si="4"/>
        <v>4329</v>
      </c>
      <c r="H1732" s="4" t="str">
        <f t="shared" si="5"/>
        <v>Uu tien cao</v>
      </c>
    </row>
    <row r="1733" ht="14.25" customHeight="1">
      <c r="A1733" s="4" t="s">
        <v>1750</v>
      </c>
      <c r="B1733" s="4">
        <v>407065.0</v>
      </c>
      <c r="C1733" s="4" t="s">
        <v>886</v>
      </c>
      <c r="D1733" s="4" t="str">
        <f t="shared" si="1"/>
        <v>MA3</v>
      </c>
      <c r="E1733" s="4">
        <f t="shared" si="2"/>
        <v>33922.08333</v>
      </c>
      <c r="F1733" s="4">
        <f t="shared" si="3"/>
        <v>11307.36111</v>
      </c>
      <c r="G1733" s="4">
        <f t="shared" si="4"/>
        <v>33922</v>
      </c>
      <c r="H1733" s="4" t="str">
        <f t="shared" si="5"/>
        <v>Uu tien cao</v>
      </c>
    </row>
    <row r="1734" ht="14.25" customHeight="1">
      <c r="A1734" s="4" t="s">
        <v>1751</v>
      </c>
      <c r="B1734" s="4">
        <v>17466.0</v>
      </c>
      <c r="C1734" s="4" t="s">
        <v>886</v>
      </c>
      <c r="D1734" s="4" t="str">
        <f t="shared" si="1"/>
        <v>MA3</v>
      </c>
      <c r="E1734" s="4">
        <f t="shared" si="2"/>
        <v>1455.5</v>
      </c>
      <c r="F1734" s="4">
        <f t="shared" si="3"/>
        <v>485.1666667</v>
      </c>
      <c r="G1734" s="4">
        <f t="shared" si="4"/>
        <v>1456</v>
      </c>
      <c r="H1734" s="4" t="str">
        <f t="shared" si="5"/>
        <v>Binh thuong</v>
      </c>
    </row>
    <row r="1735" ht="14.25" customHeight="1">
      <c r="A1735" s="4" t="s">
        <v>1752</v>
      </c>
      <c r="B1735" s="4">
        <v>76950.0</v>
      </c>
      <c r="C1735" s="4" t="s">
        <v>886</v>
      </c>
      <c r="D1735" s="4" t="str">
        <f t="shared" si="1"/>
        <v>MA3</v>
      </c>
      <c r="E1735" s="4">
        <f t="shared" si="2"/>
        <v>6412.5</v>
      </c>
      <c r="F1735" s="4">
        <f t="shared" si="3"/>
        <v>2137.5</v>
      </c>
      <c r="G1735" s="4">
        <f t="shared" si="4"/>
        <v>6413</v>
      </c>
      <c r="H1735" s="4" t="str">
        <f t="shared" si="5"/>
        <v>Uu tien cao</v>
      </c>
    </row>
    <row r="1736" ht="14.25" customHeight="1">
      <c r="A1736" s="4" t="s">
        <v>1753</v>
      </c>
      <c r="B1736" s="4">
        <v>230002.0</v>
      </c>
      <c r="C1736" s="4" t="s">
        <v>886</v>
      </c>
      <c r="D1736" s="4" t="str">
        <f t="shared" si="1"/>
        <v>MA3</v>
      </c>
      <c r="E1736" s="4">
        <f t="shared" si="2"/>
        <v>19166.83333</v>
      </c>
      <c r="F1736" s="4">
        <f t="shared" si="3"/>
        <v>6388.944444</v>
      </c>
      <c r="G1736" s="4">
        <f t="shared" si="4"/>
        <v>19167</v>
      </c>
      <c r="H1736" s="4" t="str">
        <f t="shared" si="5"/>
        <v>Uu tien cao</v>
      </c>
    </row>
    <row r="1737" ht="14.25" customHeight="1">
      <c r="A1737" s="4" t="s">
        <v>1754</v>
      </c>
      <c r="B1737" s="4">
        <v>9693.0</v>
      </c>
      <c r="C1737" s="4" t="s">
        <v>886</v>
      </c>
      <c r="D1737" s="4" t="str">
        <f t="shared" si="1"/>
        <v>MA3</v>
      </c>
      <c r="E1737" s="4">
        <f t="shared" si="2"/>
        <v>807.75</v>
      </c>
      <c r="F1737" s="4">
        <f t="shared" si="3"/>
        <v>269.25</v>
      </c>
      <c r="G1737" s="4">
        <f t="shared" si="4"/>
        <v>808</v>
      </c>
      <c r="H1737" s="4" t="str">
        <f t="shared" si="5"/>
        <v>Binh thuong</v>
      </c>
    </row>
    <row r="1738" ht="14.25" customHeight="1">
      <c r="A1738" s="4" t="s">
        <v>1755</v>
      </c>
      <c r="B1738" s="4">
        <v>38351.0</v>
      </c>
      <c r="C1738" s="4" t="s">
        <v>886</v>
      </c>
      <c r="D1738" s="4" t="str">
        <f t="shared" si="1"/>
        <v>MA3</v>
      </c>
      <c r="E1738" s="4">
        <f t="shared" si="2"/>
        <v>3195.916667</v>
      </c>
      <c r="F1738" s="4">
        <f t="shared" si="3"/>
        <v>1065.305556</v>
      </c>
      <c r="G1738" s="4">
        <f t="shared" si="4"/>
        <v>3196</v>
      </c>
      <c r="H1738" s="4" t="str">
        <f t="shared" si="5"/>
        <v>Binh thuong</v>
      </c>
    </row>
    <row r="1739" ht="14.25" customHeight="1">
      <c r="A1739" s="4" t="s">
        <v>1756</v>
      </c>
      <c r="B1739" s="4">
        <v>226417.0</v>
      </c>
      <c r="C1739" s="4" t="s">
        <v>886</v>
      </c>
      <c r="D1739" s="4" t="str">
        <f t="shared" si="1"/>
        <v>MA3</v>
      </c>
      <c r="E1739" s="4">
        <f t="shared" si="2"/>
        <v>18868.08333</v>
      </c>
      <c r="F1739" s="4">
        <f t="shared" si="3"/>
        <v>6289.361111</v>
      </c>
      <c r="G1739" s="4">
        <f t="shared" si="4"/>
        <v>18868</v>
      </c>
      <c r="H1739" s="4" t="str">
        <f t="shared" si="5"/>
        <v>Uu tien cao</v>
      </c>
    </row>
    <row r="1740" ht="14.25" customHeight="1">
      <c r="A1740" s="4" t="s">
        <v>1757</v>
      </c>
      <c r="B1740" s="4">
        <v>41701.0</v>
      </c>
      <c r="C1740" s="4" t="s">
        <v>886</v>
      </c>
      <c r="D1740" s="4" t="str">
        <f t="shared" si="1"/>
        <v>MA3</v>
      </c>
      <c r="E1740" s="4">
        <f t="shared" si="2"/>
        <v>3475.083333</v>
      </c>
      <c r="F1740" s="4">
        <f t="shared" si="3"/>
        <v>1158.361111</v>
      </c>
      <c r="G1740" s="4">
        <f t="shared" si="4"/>
        <v>3475</v>
      </c>
      <c r="H1740" s="4" t="str">
        <f t="shared" si="5"/>
        <v>Uu tien cao</v>
      </c>
    </row>
    <row r="1741" ht="14.25" customHeight="1">
      <c r="A1741" s="4" t="s">
        <v>1758</v>
      </c>
      <c r="B1741" s="4">
        <v>155254.0</v>
      </c>
      <c r="C1741" s="4" t="s">
        <v>886</v>
      </c>
      <c r="D1741" s="4" t="str">
        <f t="shared" si="1"/>
        <v>MA3</v>
      </c>
      <c r="E1741" s="4">
        <f t="shared" si="2"/>
        <v>12937.83333</v>
      </c>
      <c r="F1741" s="4">
        <f t="shared" si="3"/>
        <v>4312.611111</v>
      </c>
      <c r="G1741" s="4">
        <f t="shared" si="4"/>
        <v>12938</v>
      </c>
      <c r="H1741" s="4" t="str">
        <f t="shared" si="5"/>
        <v>Uu tien cao</v>
      </c>
    </row>
    <row r="1742" ht="14.25" customHeight="1">
      <c r="A1742" s="4" t="s">
        <v>1759</v>
      </c>
      <c r="B1742" s="4">
        <v>90680.0</v>
      </c>
      <c r="C1742" s="4" t="s">
        <v>886</v>
      </c>
      <c r="D1742" s="4" t="str">
        <f t="shared" si="1"/>
        <v>MA3</v>
      </c>
      <c r="E1742" s="4">
        <f t="shared" si="2"/>
        <v>7556.666667</v>
      </c>
      <c r="F1742" s="4">
        <f t="shared" si="3"/>
        <v>2518.888889</v>
      </c>
      <c r="G1742" s="4">
        <f t="shared" si="4"/>
        <v>7557</v>
      </c>
      <c r="H1742" s="4" t="str">
        <f t="shared" si="5"/>
        <v>Uu tien cao</v>
      </c>
    </row>
    <row r="1743" ht="14.25" customHeight="1">
      <c r="A1743" s="4" t="s">
        <v>1760</v>
      </c>
      <c r="B1743" s="4">
        <v>13934.0</v>
      </c>
      <c r="C1743" s="4" t="s">
        <v>886</v>
      </c>
      <c r="D1743" s="4" t="str">
        <f t="shared" si="1"/>
        <v>MA3</v>
      </c>
      <c r="E1743" s="4">
        <f t="shared" si="2"/>
        <v>1161.166667</v>
      </c>
      <c r="F1743" s="4">
        <f t="shared" si="3"/>
        <v>387.0555556</v>
      </c>
      <c r="G1743" s="4">
        <f t="shared" si="4"/>
        <v>1161</v>
      </c>
      <c r="H1743" s="4" t="str">
        <f t="shared" si="5"/>
        <v>Binh thuong</v>
      </c>
    </row>
    <row r="1744" ht="14.25" customHeight="1">
      <c r="A1744" s="4" t="s">
        <v>1761</v>
      </c>
      <c r="B1744" s="4">
        <v>78823.0</v>
      </c>
      <c r="C1744" s="4" t="s">
        <v>886</v>
      </c>
      <c r="D1744" s="4" t="str">
        <f t="shared" si="1"/>
        <v>MA3</v>
      </c>
      <c r="E1744" s="4">
        <f t="shared" si="2"/>
        <v>6568.583333</v>
      </c>
      <c r="F1744" s="4">
        <f t="shared" si="3"/>
        <v>2189.527778</v>
      </c>
      <c r="G1744" s="4">
        <f t="shared" si="4"/>
        <v>6569</v>
      </c>
      <c r="H1744" s="4" t="str">
        <f t="shared" si="5"/>
        <v>Uu tien cao</v>
      </c>
    </row>
    <row r="1745" ht="14.25" customHeight="1">
      <c r="A1745" s="4" t="s">
        <v>1762</v>
      </c>
      <c r="B1745" s="4">
        <v>116714.0</v>
      </c>
      <c r="C1745" s="4" t="s">
        <v>886</v>
      </c>
      <c r="D1745" s="4" t="str">
        <f t="shared" si="1"/>
        <v>MA3</v>
      </c>
      <c r="E1745" s="4">
        <f t="shared" si="2"/>
        <v>9726.166667</v>
      </c>
      <c r="F1745" s="4">
        <f t="shared" si="3"/>
        <v>3242.055556</v>
      </c>
      <c r="G1745" s="4">
        <f t="shared" si="4"/>
        <v>9726</v>
      </c>
      <c r="H1745" s="4" t="str">
        <f t="shared" si="5"/>
        <v>Uu tien cao</v>
      </c>
    </row>
    <row r="1746" ht="14.25" customHeight="1">
      <c r="A1746" s="4" t="s">
        <v>1763</v>
      </c>
      <c r="B1746" s="4">
        <v>22221.0</v>
      </c>
      <c r="C1746" s="4" t="s">
        <v>886</v>
      </c>
      <c r="D1746" s="4" t="str">
        <f t="shared" si="1"/>
        <v>MA3</v>
      </c>
      <c r="E1746" s="4">
        <f t="shared" si="2"/>
        <v>1851.75</v>
      </c>
      <c r="F1746" s="4">
        <f t="shared" si="3"/>
        <v>617.25</v>
      </c>
      <c r="G1746" s="4">
        <f t="shared" si="4"/>
        <v>1852</v>
      </c>
      <c r="H1746" s="4" t="str">
        <f t="shared" si="5"/>
        <v>Binh thuong</v>
      </c>
    </row>
    <row r="1747" ht="14.25" customHeight="1">
      <c r="A1747" s="4" t="s">
        <v>1764</v>
      </c>
      <c r="B1747" s="4">
        <v>104714.0</v>
      </c>
      <c r="C1747" s="4" t="s">
        <v>886</v>
      </c>
      <c r="D1747" s="4" t="str">
        <f t="shared" si="1"/>
        <v>MA3</v>
      </c>
      <c r="E1747" s="4">
        <f t="shared" si="2"/>
        <v>8726.166667</v>
      </c>
      <c r="F1747" s="4">
        <f t="shared" si="3"/>
        <v>2908.722222</v>
      </c>
      <c r="G1747" s="4">
        <f t="shared" si="4"/>
        <v>8726</v>
      </c>
      <c r="H1747" s="4" t="str">
        <f t="shared" si="5"/>
        <v>Uu tien cao</v>
      </c>
    </row>
    <row r="1748" ht="14.25" customHeight="1">
      <c r="A1748" s="4" t="s">
        <v>1765</v>
      </c>
      <c r="B1748" s="4">
        <v>125307.0</v>
      </c>
      <c r="C1748" s="4" t="s">
        <v>886</v>
      </c>
      <c r="D1748" s="4" t="str">
        <f t="shared" si="1"/>
        <v>MA3</v>
      </c>
      <c r="E1748" s="4">
        <f t="shared" si="2"/>
        <v>10442.25</v>
      </c>
      <c r="F1748" s="4">
        <f t="shared" si="3"/>
        <v>3480.75</v>
      </c>
      <c r="G1748" s="4">
        <f t="shared" si="4"/>
        <v>10442</v>
      </c>
      <c r="H1748" s="4" t="str">
        <f t="shared" si="5"/>
        <v>Uu tien cao</v>
      </c>
    </row>
    <row r="1749" ht="14.25" customHeight="1">
      <c r="A1749" s="4" t="s">
        <v>1766</v>
      </c>
      <c r="B1749" s="4">
        <v>17502.0</v>
      </c>
      <c r="C1749" s="4" t="s">
        <v>886</v>
      </c>
      <c r="D1749" s="4" t="str">
        <f t="shared" si="1"/>
        <v>MA3</v>
      </c>
      <c r="E1749" s="4">
        <f t="shared" si="2"/>
        <v>1458.5</v>
      </c>
      <c r="F1749" s="4">
        <f t="shared" si="3"/>
        <v>486.1666667</v>
      </c>
      <c r="G1749" s="4">
        <f t="shared" si="4"/>
        <v>1459</v>
      </c>
      <c r="H1749" s="4" t="str">
        <f t="shared" si="5"/>
        <v>Binh thuong</v>
      </c>
    </row>
    <row r="1750" ht="14.25" customHeight="1">
      <c r="A1750" s="4" t="s">
        <v>1767</v>
      </c>
      <c r="B1750" s="4">
        <v>89802.0</v>
      </c>
      <c r="C1750" s="4" t="s">
        <v>886</v>
      </c>
      <c r="D1750" s="4" t="str">
        <f t="shared" si="1"/>
        <v>MA3</v>
      </c>
      <c r="E1750" s="4">
        <f t="shared" si="2"/>
        <v>7483.5</v>
      </c>
      <c r="F1750" s="4">
        <f t="shared" si="3"/>
        <v>2494.5</v>
      </c>
      <c r="G1750" s="4">
        <f t="shared" si="4"/>
        <v>7484</v>
      </c>
      <c r="H1750" s="4" t="str">
        <f t="shared" si="5"/>
        <v>Uu tien cao</v>
      </c>
    </row>
    <row r="1751" ht="14.25" customHeight="1">
      <c r="A1751" s="4" t="s">
        <v>1768</v>
      </c>
      <c r="B1751" s="4">
        <v>101839.0</v>
      </c>
      <c r="C1751" s="4" t="s">
        <v>886</v>
      </c>
      <c r="D1751" s="4" t="str">
        <f t="shared" si="1"/>
        <v>MA3</v>
      </c>
      <c r="E1751" s="4">
        <f t="shared" si="2"/>
        <v>8486.583333</v>
      </c>
      <c r="F1751" s="4">
        <f t="shared" si="3"/>
        <v>2828.861111</v>
      </c>
      <c r="G1751" s="4">
        <f t="shared" si="4"/>
        <v>8487</v>
      </c>
      <c r="H1751" s="4" t="str">
        <f t="shared" si="5"/>
        <v>Uu tien cao</v>
      </c>
    </row>
    <row r="1752" ht="14.25" customHeight="1">
      <c r="A1752" s="4" t="s">
        <v>1769</v>
      </c>
      <c r="B1752" s="4">
        <v>15845.0</v>
      </c>
      <c r="C1752" s="4" t="s">
        <v>886</v>
      </c>
      <c r="D1752" s="4" t="str">
        <f t="shared" si="1"/>
        <v>MA3</v>
      </c>
      <c r="E1752" s="4">
        <f t="shared" si="2"/>
        <v>1320.416667</v>
      </c>
      <c r="F1752" s="4">
        <f t="shared" si="3"/>
        <v>440.1388889</v>
      </c>
      <c r="G1752" s="4">
        <f t="shared" si="4"/>
        <v>1320</v>
      </c>
      <c r="H1752" s="4" t="str">
        <f t="shared" si="5"/>
        <v>Binh thuong</v>
      </c>
    </row>
    <row r="1753" ht="14.25" customHeight="1">
      <c r="A1753" s="4" t="s">
        <v>1770</v>
      </c>
      <c r="B1753" s="4">
        <v>83862.0</v>
      </c>
      <c r="C1753" s="4" t="s">
        <v>886</v>
      </c>
      <c r="D1753" s="4" t="str">
        <f t="shared" si="1"/>
        <v>MA3</v>
      </c>
      <c r="E1753" s="4">
        <f t="shared" si="2"/>
        <v>6988.5</v>
      </c>
      <c r="F1753" s="4">
        <f t="shared" si="3"/>
        <v>2329.5</v>
      </c>
      <c r="G1753" s="4">
        <f t="shared" si="4"/>
        <v>6989</v>
      </c>
      <c r="H1753" s="4" t="str">
        <f t="shared" si="5"/>
        <v>Uu tien cao</v>
      </c>
    </row>
    <row r="1754" ht="14.25" customHeight="1">
      <c r="A1754" s="4" t="s">
        <v>1771</v>
      </c>
      <c r="B1754" s="4">
        <v>168796.0</v>
      </c>
      <c r="C1754" s="4" t="s">
        <v>886</v>
      </c>
      <c r="D1754" s="4" t="str">
        <f t="shared" si="1"/>
        <v>MA3</v>
      </c>
      <c r="E1754" s="4">
        <f t="shared" si="2"/>
        <v>14066.33333</v>
      </c>
      <c r="F1754" s="4">
        <f t="shared" si="3"/>
        <v>4688.777778</v>
      </c>
      <c r="G1754" s="4">
        <f t="shared" si="4"/>
        <v>14066</v>
      </c>
      <c r="H1754" s="4" t="str">
        <f t="shared" si="5"/>
        <v>Uu tien cao</v>
      </c>
    </row>
    <row r="1755" ht="14.25" customHeight="1">
      <c r="A1755" s="4" t="s">
        <v>1772</v>
      </c>
      <c r="B1755" s="4">
        <v>31655.0</v>
      </c>
      <c r="C1755" s="4" t="s">
        <v>886</v>
      </c>
      <c r="D1755" s="4" t="str">
        <f t="shared" si="1"/>
        <v>MA3</v>
      </c>
      <c r="E1755" s="4">
        <f t="shared" si="2"/>
        <v>2637.916667</v>
      </c>
      <c r="F1755" s="4">
        <f t="shared" si="3"/>
        <v>879.3055556</v>
      </c>
      <c r="G1755" s="4">
        <f t="shared" si="4"/>
        <v>2638</v>
      </c>
      <c r="H1755" s="4" t="str">
        <f t="shared" si="5"/>
        <v>Binh thuong</v>
      </c>
    </row>
    <row r="1756" ht="14.25" customHeight="1">
      <c r="A1756" s="4" t="s">
        <v>1773</v>
      </c>
      <c r="B1756" s="4">
        <v>115421.0</v>
      </c>
      <c r="C1756" s="4" t="s">
        <v>886</v>
      </c>
      <c r="D1756" s="4" t="str">
        <f t="shared" si="1"/>
        <v>MA3</v>
      </c>
      <c r="E1756" s="4">
        <f t="shared" si="2"/>
        <v>9618.416667</v>
      </c>
      <c r="F1756" s="4">
        <f t="shared" si="3"/>
        <v>3206.138889</v>
      </c>
      <c r="G1756" s="4">
        <f t="shared" si="4"/>
        <v>9618</v>
      </c>
      <c r="H1756" s="4" t="str">
        <f t="shared" si="5"/>
        <v>Uu tien cao</v>
      </c>
    </row>
    <row r="1757" ht="14.25" customHeight="1">
      <c r="A1757" s="4" t="s">
        <v>1774</v>
      </c>
      <c r="B1757" s="4">
        <v>36447.0</v>
      </c>
      <c r="C1757" s="4" t="s">
        <v>886</v>
      </c>
      <c r="D1757" s="4" t="str">
        <f t="shared" si="1"/>
        <v>MA3</v>
      </c>
      <c r="E1757" s="4">
        <f t="shared" si="2"/>
        <v>3037.25</v>
      </c>
      <c r="F1757" s="4">
        <f t="shared" si="3"/>
        <v>1012.416667</v>
      </c>
      <c r="G1757" s="4">
        <f t="shared" si="4"/>
        <v>3037</v>
      </c>
      <c r="H1757" s="4" t="str">
        <f t="shared" si="5"/>
        <v>Binh thuong</v>
      </c>
    </row>
    <row r="1758" ht="14.25" customHeight="1">
      <c r="A1758" s="4" t="s">
        <v>1775</v>
      </c>
      <c r="B1758" s="4">
        <v>7903.0</v>
      </c>
      <c r="C1758" s="4" t="s">
        <v>886</v>
      </c>
      <c r="D1758" s="4" t="str">
        <f t="shared" si="1"/>
        <v>MA3</v>
      </c>
      <c r="E1758" s="4">
        <f t="shared" si="2"/>
        <v>658.5833333</v>
      </c>
      <c r="F1758" s="4">
        <f t="shared" si="3"/>
        <v>219.5277778</v>
      </c>
      <c r="G1758" s="4">
        <f t="shared" si="4"/>
        <v>659</v>
      </c>
      <c r="H1758" s="4" t="str">
        <f t="shared" si="5"/>
        <v>Binh thuong</v>
      </c>
    </row>
    <row r="1759" ht="14.25" customHeight="1">
      <c r="A1759" s="4" t="s">
        <v>1776</v>
      </c>
      <c r="B1759" s="4">
        <v>49835.0</v>
      </c>
      <c r="C1759" s="4" t="s">
        <v>886</v>
      </c>
      <c r="D1759" s="4" t="str">
        <f t="shared" si="1"/>
        <v>MA3</v>
      </c>
      <c r="E1759" s="4">
        <f t="shared" si="2"/>
        <v>4152.916667</v>
      </c>
      <c r="F1759" s="4">
        <f t="shared" si="3"/>
        <v>1384.305556</v>
      </c>
      <c r="G1759" s="4">
        <f t="shared" si="4"/>
        <v>4153</v>
      </c>
      <c r="H1759" s="4" t="str">
        <f t="shared" si="5"/>
        <v>Uu tien cao</v>
      </c>
    </row>
    <row r="1760" ht="14.25" customHeight="1">
      <c r="A1760" s="4" t="s">
        <v>1777</v>
      </c>
      <c r="B1760" s="4">
        <v>50789.0</v>
      </c>
      <c r="C1760" s="4" t="s">
        <v>886</v>
      </c>
      <c r="D1760" s="4" t="str">
        <f t="shared" si="1"/>
        <v>MA3</v>
      </c>
      <c r="E1760" s="4">
        <f t="shared" si="2"/>
        <v>4232.416667</v>
      </c>
      <c r="F1760" s="4">
        <f t="shared" si="3"/>
        <v>1410.805556</v>
      </c>
      <c r="G1760" s="4">
        <f t="shared" si="4"/>
        <v>4232</v>
      </c>
      <c r="H1760" s="4" t="str">
        <f t="shared" si="5"/>
        <v>Uu tien cao</v>
      </c>
    </row>
    <row r="1761" ht="14.25" customHeight="1">
      <c r="A1761" s="4" t="s">
        <v>1778</v>
      </c>
      <c r="B1761" s="4">
        <v>11011.0</v>
      </c>
      <c r="C1761" s="4" t="s">
        <v>886</v>
      </c>
      <c r="D1761" s="4" t="str">
        <f t="shared" si="1"/>
        <v>MA3</v>
      </c>
      <c r="E1761" s="4">
        <f t="shared" si="2"/>
        <v>917.5833333</v>
      </c>
      <c r="F1761" s="4">
        <f t="shared" si="3"/>
        <v>305.8611111</v>
      </c>
      <c r="G1761" s="4">
        <f t="shared" si="4"/>
        <v>918</v>
      </c>
      <c r="H1761" s="4" t="str">
        <f t="shared" si="5"/>
        <v>Binh thuong</v>
      </c>
    </row>
    <row r="1762" ht="14.25" customHeight="1">
      <c r="A1762" s="4" t="s">
        <v>1779</v>
      </c>
      <c r="B1762" s="4">
        <v>51085.0</v>
      </c>
      <c r="C1762" s="4" t="s">
        <v>886</v>
      </c>
      <c r="D1762" s="4" t="str">
        <f t="shared" si="1"/>
        <v>MA3</v>
      </c>
      <c r="E1762" s="4">
        <f t="shared" si="2"/>
        <v>4257.083333</v>
      </c>
      <c r="F1762" s="4">
        <f t="shared" si="3"/>
        <v>1419.027778</v>
      </c>
      <c r="G1762" s="4">
        <f t="shared" si="4"/>
        <v>4257</v>
      </c>
      <c r="H1762" s="4" t="str">
        <f t="shared" si="5"/>
        <v>Uu tien cao</v>
      </c>
    </row>
    <row r="1763" ht="14.25" customHeight="1">
      <c r="A1763" s="4" t="s">
        <v>1780</v>
      </c>
      <c r="B1763" s="4">
        <v>116704.0</v>
      </c>
      <c r="C1763" s="4" t="s">
        <v>886</v>
      </c>
      <c r="D1763" s="4" t="str">
        <f t="shared" si="1"/>
        <v>MA3</v>
      </c>
      <c r="E1763" s="4">
        <f t="shared" si="2"/>
        <v>9725.333333</v>
      </c>
      <c r="F1763" s="4">
        <f t="shared" si="3"/>
        <v>3241.777778</v>
      </c>
      <c r="G1763" s="4">
        <f t="shared" si="4"/>
        <v>9725</v>
      </c>
      <c r="H1763" s="4" t="str">
        <f t="shared" si="5"/>
        <v>Uu tien cao</v>
      </c>
    </row>
    <row r="1764" ht="14.25" customHeight="1">
      <c r="A1764" s="4" t="s">
        <v>1781</v>
      </c>
      <c r="B1764" s="4">
        <v>17861.0</v>
      </c>
      <c r="C1764" s="4" t="s">
        <v>886</v>
      </c>
      <c r="D1764" s="4" t="str">
        <f t="shared" si="1"/>
        <v>MA3</v>
      </c>
      <c r="E1764" s="4">
        <f t="shared" si="2"/>
        <v>1488.416667</v>
      </c>
      <c r="F1764" s="4">
        <f t="shared" si="3"/>
        <v>496.1388889</v>
      </c>
      <c r="G1764" s="4">
        <f t="shared" si="4"/>
        <v>1488</v>
      </c>
      <c r="H1764" s="4" t="str">
        <f t="shared" si="5"/>
        <v>Binh thuong</v>
      </c>
    </row>
    <row r="1765" ht="14.25" customHeight="1">
      <c r="A1765" s="4" t="s">
        <v>1782</v>
      </c>
      <c r="B1765" s="4">
        <v>78405.0</v>
      </c>
      <c r="C1765" s="4" t="s">
        <v>886</v>
      </c>
      <c r="D1765" s="4" t="str">
        <f t="shared" si="1"/>
        <v>MA3</v>
      </c>
      <c r="E1765" s="4">
        <f t="shared" si="2"/>
        <v>6533.75</v>
      </c>
      <c r="F1765" s="4">
        <f t="shared" si="3"/>
        <v>2177.916667</v>
      </c>
      <c r="G1765" s="4">
        <f t="shared" si="4"/>
        <v>6534</v>
      </c>
      <c r="H1765" s="4" t="str">
        <f t="shared" si="5"/>
        <v>Uu tien cao</v>
      </c>
    </row>
    <row r="1766" ht="14.25" customHeight="1">
      <c r="A1766" s="4" t="s">
        <v>1783</v>
      </c>
      <c r="B1766" s="4">
        <v>102356.0</v>
      </c>
      <c r="C1766" s="4" t="s">
        <v>886</v>
      </c>
      <c r="D1766" s="4" t="str">
        <f t="shared" si="1"/>
        <v>MA3</v>
      </c>
      <c r="E1766" s="4">
        <f t="shared" si="2"/>
        <v>8529.666667</v>
      </c>
      <c r="F1766" s="4">
        <f t="shared" si="3"/>
        <v>2843.222222</v>
      </c>
      <c r="G1766" s="4">
        <f t="shared" si="4"/>
        <v>8530</v>
      </c>
      <c r="H1766" s="4" t="str">
        <f t="shared" si="5"/>
        <v>Uu tien cao</v>
      </c>
    </row>
    <row r="1767" ht="14.25" customHeight="1">
      <c r="A1767" s="4" t="s">
        <v>1784</v>
      </c>
      <c r="B1767" s="4">
        <v>12264.0</v>
      </c>
      <c r="C1767" s="4" t="s">
        <v>886</v>
      </c>
      <c r="D1767" s="4" t="str">
        <f t="shared" si="1"/>
        <v>MA3</v>
      </c>
      <c r="E1767" s="4">
        <f t="shared" si="2"/>
        <v>1022</v>
      </c>
      <c r="F1767" s="4">
        <f t="shared" si="3"/>
        <v>340.6666667</v>
      </c>
      <c r="G1767" s="4">
        <f t="shared" si="4"/>
        <v>1022</v>
      </c>
      <c r="H1767" s="4" t="str">
        <f t="shared" si="5"/>
        <v>Binh thuong</v>
      </c>
    </row>
    <row r="1768" ht="14.25" customHeight="1">
      <c r="A1768" s="4" t="s">
        <v>1785</v>
      </c>
      <c r="B1768" s="4">
        <v>87057.0</v>
      </c>
      <c r="C1768" s="4" t="s">
        <v>886</v>
      </c>
      <c r="D1768" s="4" t="str">
        <f t="shared" si="1"/>
        <v>MA3</v>
      </c>
      <c r="E1768" s="4">
        <f t="shared" si="2"/>
        <v>7254.75</v>
      </c>
      <c r="F1768" s="4">
        <f t="shared" si="3"/>
        <v>2418.25</v>
      </c>
      <c r="G1768" s="4">
        <f t="shared" si="4"/>
        <v>7255</v>
      </c>
      <c r="H1768" s="4" t="str">
        <f t="shared" si="5"/>
        <v>Uu tien cao</v>
      </c>
    </row>
    <row r="1769" ht="14.25" customHeight="1">
      <c r="A1769" s="4" t="s">
        <v>1786</v>
      </c>
      <c r="B1769" s="4">
        <v>63093.0</v>
      </c>
      <c r="C1769" s="4" t="s">
        <v>886</v>
      </c>
      <c r="D1769" s="4" t="str">
        <f t="shared" si="1"/>
        <v>MA3</v>
      </c>
      <c r="E1769" s="4">
        <f t="shared" si="2"/>
        <v>5257.75</v>
      </c>
      <c r="F1769" s="4">
        <f t="shared" si="3"/>
        <v>1752.583333</v>
      </c>
      <c r="G1769" s="4">
        <f t="shared" si="4"/>
        <v>5258</v>
      </c>
      <c r="H1769" s="4" t="str">
        <f t="shared" si="5"/>
        <v>Uu tien cao</v>
      </c>
    </row>
    <row r="1770" ht="14.25" customHeight="1">
      <c r="A1770" s="4" t="s">
        <v>1787</v>
      </c>
      <c r="B1770" s="4">
        <v>5535.0</v>
      </c>
      <c r="C1770" s="4" t="s">
        <v>886</v>
      </c>
      <c r="D1770" s="4" t="str">
        <f t="shared" si="1"/>
        <v>MA3</v>
      </c>
      <c r="E1770" s="4">
        <f t="shared" si="2"/>
        <v>461.25</v>
      </c>
      <c r="F1770" s="4">
        <f t="shared" si="3"/>
        <v>153.75</v>
      </c>
      <c r="G1770" s="4">
        <f t="shared" si="4"/>
        <v>461</v>
      </c>
      <c r="H1770" s="4" t="str">
        <f t="shared" si="5"/>
        <v>Binh thuong</v>
      </c>
    </row>
    <row r="1771" ht="14.25" customHeight="1">
      <c r="A1771" s="4" t="s">
        <v>1788</v>
      </c>
      <c r="B1771" s="4">
        <v>58945.0</v>
      </c>
      <c r="C1771" s="4" t="s">
        <v>886</v>
      </c>
      <c r="D1771" s="4" t="str">
        <f t="shared" si="1"/>
        <v>MA3</v>
      </c>
      <c r="E1771" s="4">
        <f t="shared" si="2"/>
        <v>4912.083333</v>
      </c>
      <c r="F1771" s="4">
        <f t="shared" si="3"/>
        <v>1637.361111</v>
      </c>
      <c r="G1771" s="4">
        <f t="shared" si="4"/>
        <v>4912</v>
      </c>
      <c r="H1771" s="4" t="str">
        <f t="shared" si="5"/>
        <v>Uu tien cao</v>
      </c>
    </row>
    <row r="1772" ht="14.25" customHeight="1">
      <c r="A1772" s="4" t="s">
        <v>1789</v>
      </c>
      <c r="B1772" s="4">
        <v>37183.0</v>
      </c>
      <c r="C1772" s="4" t="s">
        <v>886</v>
      </c>
      <c r="D1772" s="4" t="str">
        <f t="shared" si="1"/>
        <v>MA3</v>
      </c>
      <c r="E1772" s="4">
        <f t="shared" si="2"/>
        <v>3098.583333</v>
      </c>
      <c r="F1772" s="4">
        <f t="shared" si="3"/>
        <v>1032.861111</v>
      </c>
      <c r="G1772" s="4">
        <f t="shared" si="4"/>
        <v>3099</v>
      </c>
      <c r="H1772" s="4" t="str">
        <f t="shared" si="5"/>
        <v>Binh thuong</v>
      </c>
    </row>
    <row r="1773" ht="14.25" customHeight="1">
      <c r="A1773" s="4" t="s">
        <v>1790</v>
      </c>
      <c r="B1773" s="4">
        <v>5661.0</v>
      </c>
      <c r="C1773" s="4" t="s">
        <v>886</v>
      </c>
      <c r="D1773" s="4" t="str">
        <f t="shared" si="1"/>
        <v>MA3</v>
      </c>
      <c r="E1773" s="4">
        <f t="shared" si="2"/>
        <v>471.75</v>
      </c>
      <c r="F1773" s="4">
        <f t="shared" si="3"/>
        <v>157.25</v>
      </c>
      <c r="G1773" s="4">
        <f t="shared" si="4"/>
        <v>472</v>
      </c>
      <c r="H1773" s="4" t="str">
        <f t="shared" si="5"/>
        <v>Binh thuong</v>
      </c>
    </row>
    <row r="1774" ht="14.25" customHeight="1">
      <c r="A1774" s="4" t="s">
        <v>1791</v>
      </c>
      <c r="B1774" s="4">
        <v>31996.0</v>
      </c>
      <c r="C1774" s="4" t="s">
        <v>886</v>
      </c>
      <c r="D1774" s="4" t="str">
        <f t="shared" si="1"/>
        <v>MA3</v>
      </c>
      <c r="E1774" s="4">
        <f t="shared" si="2"/>
        <v>2666.333333</v>
      </c>
      <c r="F1774" s="4">
        <f t="shared" si="3"/>
        <v>888.7777778</v>
      </c>
      <c r="G1774" s="4">
        <f t="shared" si="4"/>
        <v>2666</v>
      </c>
      <c r="H1774" s="4" t="str">
        <f t="shared" si="5"/>
        <v>Binh thuong</v>
      </c>
    </row>
    <row r="1775" ht="14.25" customHeight="1">
      <c r="A1775" s="4" t="s">
        <v>1792</v>
      </c>
      <c r="B1775" s="4">
        <v>62515.0</v>
      </c>
      <c r="C1775" s="4" t="s">
        <v>886</v>
      </c>
      <c r="D1775" s="4" t="str">
        <f t="shared" si="1"/>
        <v>MA3</v>
      </c>
      <c r="E1775" s="4">
        <f t="shared" si="2"/>
        <v>5209.583333</v>
      </c>
      <c r="F1775" s="4">
        <f t="shared" si="3"/>
        <v>1736.527778</v>
      </c>
      <c r="G1775" s="4">
        <f t="shared" si="4"/>
        <v>5210</v>
      </c>
      <c r="H1775" s="4" t="str">
        <f t="shared" si="5"/>
        <v>Uu tien cao</v>
      </c>
    </row>
    <row r="1776" ht="14.25" customHeight="1">
      <c r="A1776" s="4" t="s">
        <v>1793</v>
      </c>
      <c r="B1776" s="4">
        <v>8252.0</v>
      </c>
      <c r="C1776" s="4" t="s">
        <v>886</v>
      </c>
      <c r="D1776" s="4" t="str">
        <f t="shared" si="1"/>
        <v>MA3</v>
      </c>
      <c r="E1776" s="4">
        <f t="shared" si="2"/>
        <v>687.6666667</v>
      </c>
      <c r="F1776" s="4">
        <f t="shared" si="3"/>
        <v>229.2222222</v>
      </c>
      <c r="G1776" s="4">
        <f t="shared" si="4"/>
        <v>688</v>
      </c>
      <c r="H1776" s="4" t="str">
        <f t="shared" si="5"/>
        <v>Binh thuong</v>
      </c>
    </row>
    <row r="1777" ht="14.25" customHeight="1">
      <c r="A1777" s="4" t="s">
        <v>1794</v>
      </c>
      <c r="B1777" s="4">
        <v>57094.0</v>
      </c>
      <c r="C1777" s="4" t="s">
        <v>886</v>
      </c>
      <c r="D1777" s="4" t="str">
        <f t="shared" si="1"/>
        <v>MA3</v>
      </c>
      <c r="E1777" s="4">
        <f t="shared" si="2"/>
        <v>4757.833333</v>
      </c>
      <c r="F1777" s="4">
        <f t="shared" si="3"/>
        <v>1585.944444</v>
      </c>
      <c r="G1777" s="4">
        <f t="shared" si="4"/>
        <v>4758</v>
      </c>
      <c r="H1777" s="4" t="str">
        <f t="shared" si="5"/>
        <v>Uu tien cao</v>
      </c>
    </row>
    <row r="1778" ht="14.25" customHeight="1">
      <c r="A1778" s="4" t="s">
        <v>1795</v>
      </c>
      <c r="B1778" s="4">
        <v>53766.0</v>
      </c>
      <c r="C1778" s="4" t="s">
        <v>886</v>
      </c>
      <c r="D1778" s="4" t="str">
        <f t="shared" si="1"/>
        <v>MA3</v>
      </c>
      <c r="E1778" s="4">
        <f t="shared" si="2"/>
        <v>4480.5</v>
      </c>
      <c r="F1778" s="4">
        <f t="shared" si="3"/>
        <v>1493.5</v>
      </c>
      <c r="G1778" s="4">
        <f t="shared" si="4"/>
        <v>4481</v>
      </c>
      <c r="H1778" s="4" t="str">
        <f t="shared" si="5"/>
        <v>Uu tien cao</v>
      </c>
    </row>
    <row r="1779" ht="14.25" customHeight="1">
      <c r="A1779" s="4" t="s">
        <v>1796</v>
      </c>
      <c r="B1779" s="4">
        <v>4222.0</v>
      </c>
      <c r="C1779" s="4" t="s">
        <v>886</v>
      </c>
      <c r="D1779" s="4" t="str">
        <f t="shared" si="1"/>
        <v>MA3</v>
      </c>
      <c r="E1779" s="4">
        <f t="shared" si="2"/>
        <v>351.8333333</v>
      </c>
      <c r="F1779" s="4">
        <f t="shared" si="3"/>
        <v>117.2777778</v>
      </c>
      <c r="G1779" s="4">
        <f t="shared" si="4"/>
        <v>352</v>
      </c>
      <c r="H1779" s="4" t="str">
        <f t="shared" si="5"/>
        <v>Binh thuong</v>
      </c>
    </row>
    <row r="1780" ht="14.25" customHeight="1">
      <c r="A1780" s="4" t="s">
        <v>1797</v>
      </c>
      <c r="B1780" s="4">
        <v>50855.0</v>
      </c>
      <c r="C1780" s="4" t="s">
        <v>886</v>
      </c>
      <c r="D1780" s="4" t="str">
        <f t="shared" si="1"/>
        <v>MA3</v>
      </c>
      <c r="E1780" s="4">
        <f t="shared" si="2"/>
        <v>4237.916667</v>
      </c>
      <c r="F1780" s="4">
        <f t="shared" si="3"/>
        <v>1412.638889</v>
      </c>
      <c r="G1780" s="4">
        <f t="shared" si="4"/>
        <v>4238</v>
      </c>
      <c r="H1780" s="4" t="str">
        <f t="shared" si="5"/>
        <v>Uu tien cao</v>
      </c>
    </row>
    <row r="1781" ht="14.25" customHeight="1">
      <c r="A1781" s="4" t="s">
        <v>1798</v>
      </c>
      <c r="B1781" s="4">
        <v>53668.0</v>
      </c>
      <c r="C1781" s="4" t="s">
        <v>886</v>
      </c>
      <c r="D1781" s="4" t="str">
        <f t="shared" si="1"/>
        <v>MA3</v>
      </c>
      <c r="E1781" s="4">
        <f t="shared" si="2"/>
        <v>4472.333333</v>
      </c>
      <c r="F1781" s="4">
        <f t="shared" si="3"/>
        <v>1490.777778</v>
      </c>
      <c r="G1781" s="4">
        <f t="shared" si="4"/>
        <v>4472</v>
      </c>
      <c r="H1781" s="4" t="str">
        <f t="shared" si="5"/>
        <v>Uu tien cao</v>
      </c>
    </row>
    <row r="1782" ht="14.25" customHeight="1">
      <c r="A1782" s="4" t="s">
        <v>1799</v>
      </c>
      <c r="B1782" s="4">
        <v>3789.0</v>
      </c>
      <c r="C1782" s="4" t="s">
        <v>886</v>
      </c>
      <c r="D1782" s="4" t="str">
        <f t="shared" si="1"/>
        <v>MA3</v>
      </c>
      <c r="E1782" s="4">
        <f t="shared" si="2"/>
        <v>315.75</v>
      </c>
      <c r="F1782" s="4">
        <f t="shared" si="3"/>
        <v>105.25</v>
      </c>
      <c r="G1782" s="4">
        <f t="shared" si="4"/>
        <v>316</v>
      </c>
      <c r="H1782" s="4" t="str">
        <f t="shared" si="5"/>
        <v>Binh thuong</v>
      </c>
    </row>
    <row r="1783" ht="14.25" customHeight="1">
      <c r="A1783" s="4" t="s">
        <v>1800</v>
      </c>
      <c r="B1783" s="4">
        <v>34923.0</v>
      </c>
      <c r="C1783" s="4" t="s">
        <v>886</v>
      </c>
      <c r="D1783" s="4" t="str">
        <f t="shared" si="1"/>
        <v>MA3</v>
      </c>
      <c r="E1783" s="4">
        <f t="shared" si="2"/>
        <v>2910.25</v>
      </c>
      <c r="F1783" s="4">
        <f t="shared" si="3"/>
        <v>970.0833333</v>
      </c>
      <c r="G1783" s="4">
        <f t="shared" si="4"/>
        <v>2910</v>
      </c>
      <c r="H1783" s="4" t="str">
        <f t="shared" si="5"/>
        <v>Binh thuong</v>
      </c>
    </row>
    <row r="1784" ht="14.25" customHeight="1">
      <c r="A1784" s="4" t="s">
        <v>1801</v>
      </c>
      <c r="B1784" s="4">
        <v>1080950.0</v>
      </c>
      <c r="C1784" s="4" t="s">
        <v>886</v>
      </c>
      <c r="D1784" s="4" t="str">
        <f t="shared" si="1"/>
        <v>MA3</v>
      </c>
      <c r="E1784" s="4">
        <f t="shared" si="2"/>
        <v>90079.16667</v>
      </c>
      <c r="F1784" s="4">
        <f t="shared" si="3"/>
        <v>30026.38889</v>
      </c>
      <c r="G1784" s="4">
        <f t="shared" si="4"/>
        <v>90079</v>
      </c>
      <c r="H1784" s="4" t="str">
        <f t="shared" si="5"/>
        <v>Uu tien cao</v>
      </c>
    </row>
    <row r="1785" ht="14.25" customHeight="1">
      <c r="A1785" s="4" t="s">
        <v>1802</v>
      </c>
      <c r="B1785" s="4">
        <v>241000.0</v>
      </c>
      <c r="C1785" s="4" t="s">
        <v>886</v>
      </c>
      <c r="D1785" s="4" t="str">
        <f t="shared" si="1"/>
        <v>MA3</v>
      </c>
      <c r="E1785" s="4">
        <f t="shared" si="2"/>
        <v>20083.33333</v>
      </c>
      <c r="F1785" s="4">
        <f t="shared" si="3"/>
        <v>6694.444444</v>
      </c>
      <c r="G1785" s="4">
        <f t="shared" si="4"/>
        <v>20083</v>
      </c>
      <c r="H1785" s="4" t="str">
        <f t="shared" si="5"/>
        <v>Uu tien cao</v>
      </c>
    </row>
    <row r="1786" ht="14.25" customHeight="1">
      <c r="A1786" s="4" t="s">
        <v>1803</v>
      </c>
      <c r="B1786" s="4">
        <v>120940.0</v>
      </c>
      <c r="C1786" s="4" t="s">
        <v>886</v>
      </c>
      <c r="D1786" s="4" t="str">
        <f t="shared" si="1"/>
        <v>MA3</v>
      </c>
      <c r="E1786" s="4">
        <f t="shared" si="2"/>
        <v>10078.33333</v>
      </c>
      <c r="F1786" s="4">
        <f t="shared" si="3"/>
        <v>3359.444444</v>
      </c>
      <c r="G1786" s="4">
        <f t="shared" si="4"/>
        <v>10078</v>
      </c>
      <c r="H1786" s="4" t="str">
        <f t="shared" si="5"/>
        <v>Uu tien cao</v>
      </c>
    </row>
    <row r="1787" ht="14.25" customHeight="1">
      <c r="A1787" s="4" t="s">
        <v>1804</v>
      </c>
      <c r="B1787" s="4">
        <v>138171.0</v>
      </c>
      <c r="C1787" s="4" t="s">
        <v>886</v>
      </c>
      <c r="D1787" s="4" t="str">
        <f t="shared" si="1"/>
        <v>MA3</v>
      </c>
      <c r="E1787" s="4">
        <f t="shared" si="2"/>
        <v>11514.25</v>
      </c>
      <c r="F1787" s="4">
        <f t="shared" si="3"/>
        <v>3838.083333</v>
      </c>
      <c r="G1787" s="4">
        <f t="shared" si="4"/>
        <v>11514</v>
      </c>
      <c r="H1787" s="4" t="str">
        <f t="shared" si="5"/>
        <v>Uu tien cao</v>
      </c>
    </row>
    <row r="1788" ht="14.25" customHeight="1">
      <c r="A1788" s="4" t="s">
        <v>1805</v>
      </c>
      <c r="B1788" s="4">
        <v>6246.0</v>
      </c>
      <c r="C1788" s="4" t="s">
        <v>886</v>
      </c>
      <c r="D1788" s="4" t="str">
        <f t="shared" si="1"/>
        <v>MA3</v>
      </c>
      <c r="E1788" s="4">
        <f t="shared" si="2"/>
        <v>520.5</v>
      </c>
      <c r="F1788" s="4">
        <f t="shared" si="3"/>
        <v>173.5</v>
      </c>
      <c r="G1788" s="4">
        <f t="shared" si="4"/>
        <v>521</v>
      </c>
      <c r="H1788" s="4" t="str">
        <f t="shared" si="5"/>
        <v>Binh thuong</v>
      </c>
    </row>
    <row r="1789" ht="14.25" customHeight="1">
      <c r="A1789" s="4" t="s">
        <v>1806</v>
      </c>
      <c r="B1789" s="4">
        <v>25943.0</v>
      </c>
      <c r="C1789" s="4" t="s">
        <v>886</v>
      </c>
      <c r="D1789" s="4" t="str">
        <f t="shared" si="1"/>
        <v>MA3</v>
      </c>
      <c r="E1789" s="4">
        <f t="shared" si="2"/>
        <v>2161.916667</v>
      </c>
      <c r="F1789" s="4">
        <f t="shared" si="3"/>
        <v>720.6388889</v>
      </c>
      <c r="G1789" s="4">
        <f t="shared" si="4"/>
        <v>2162</v>
      </c>
      <c r="H1789" s="4" t="str">
        <f t="shared" si="5"/>
        <v>Binh thuong</v>
      </c>
    </row>
    <row r="1790" ht="14.25" customHeight="1">
      <c r="A1790" s="4" t="s">
        <v>1807</v>
      </c>
      <c r="B1790" s="4">
        <v>58428.0</v>
      </c>
      <c r="C1790" s="4" t="s">
        <v>886</v>
      </c>
      <c r="D1790" s="4" t="str">
        <f t="shared" si="1"/>
        <v>MA3</v>
      </c>
      <c r="E1790" s="4">
        <f t="shared" si="2"/>
        <v>4869</v>
      </c>
      <c r="F1790" s="4">
        <f t="shared" si="3"/>
        <v>1623</v>
      </c>
      <c r="G1790" s="4">
        <f t="shared" si="4"/>
        <v>4869</v>
      </c>
      <c r="H1790" s="4" t="str">
        <f t="shared" si="5"/>
        <v>Uu tien cao</v>
      </c>
    </row>
    <row r="1791" ht="14.25" customHeight="1">
      <c r="A1791" s="4" t="s">
        <v>1808</v>
      </c>
      <c r="B1791" s="4">
        <v>11247.0</v>
      </c>
      <c r="C1791" s="4" t="s">
        <v>886</v>
      </c>
      <c r="D1791" s="4" t="str">
        <f t="shared" si="1"/>
        <v>MA3</v>
      </c>
      <c r="E1791" s="4">
        <f t="shared" si="2"/>
        <v>937.25</v>
      </c>
      <c r="F1791" s="4">
        <f t="shared" si="3"/>
        <v>312.4166667</v>
      </c>
      <c r="G1791" s="4">
        <f t="shared" si="4"/>
        <v>937</v>
      </c>
      <c r="H1791" s="4" t="str">
        <f t="shared" si="5"/>
        <v>Binh thuong</v>
      </c>
    </row>
    <row r="1792" ht="14.25" customHeight="1">
      <c r="A1792" s="4" t="s">
        <v>1809</v>
      </c>
      <c r="B1792" s="4">
        <v>289360.0</v>
      </c>
      <c r="C1792" s="4" t="s">
        <v>886</v>
      </c>
      <c r="D1792" s="4" t="str">
        <f t="shared" si="1"/>
        <v>MA3</v>
      </c>
      <c r="E1792" s="4">
        <f t="shared" si="2"/>
        <v>24113.33333</v>
      </c>
      <c r="F1792" s="4">
        <f t="shared" si="3"/>
        <v>8037.777778</v>
      </c>
      <c r="G1792" s="4">
        <f t="shared" si="4"/>
        <v>24113</v>
      </c>
      <c r="H1792" s="4" t="str">
        <f t="shared" si="5"/>
        <v>Uu tien cao</v>
      </c>
    </row>
    <row r="1793" ht="14.25" customHeight="1">
      <c r="A1793" s="4" t="s">
        <v>1810</v>
      </c>
      <c r="B1793" s="4">
        <v>8812.0</v>
      </c>
      <c r="C1793" s="4" t="s">
        <v>886</v>
      </c>
      <c r="D1793" s="4" t="str">
        <f t="shared" si="1"/>
        <v>MA3</v>
      </c>
      <c r="E1793" s="4">
        <f t="shared" si="2"/>
        <v>734.3333333</v>
      </c>
      <c r="F1793" s="4">
        <f t="shared" si="3"/>
        <v>244.7777778</v>
      </c>
      <c r="G1793" s="4">
        <f t="shared" si="4"/>
        <v>734</v>
      </c>
      <c r="H1793" s="4" t="str">
        <f t="shared" si="5"/>
        <v>Binh thuong</v>
      </c>
    </row>
    <row r="1794" ht="14.25" customHeight="1">
      <c r="A1794" s="4" t="s">
        <v>1811</v>
      </c>
      <c r="B1794" s="4">
        <v>57543.0</v>
      </c>
      <c r="C1794" s="4" t="s">
        <v>886</v>
      </c>
      <c r="D1794" s="4" t="str">
        <f t="shared" si="1"/>
        <v>MA3</v>
      </c>
      <c r="E1794" s="4">
        <f t="shared" si="2"/>
        <v>4795.25</v>
      </c>
      <c r="F1794" s="4">
        <f t="shared" si="3"/>
        <v>1598.416667</v>
      </c>
      <c r="G1794" s="4">
        <f t="shared" si="4"/>
        <v>4795</v>
      </c>
      <c r="H1794" s="4" t="str">
        <f t="shared" si="5"/>
        <v>Uu tien cao</v>
      </c>
    </row>
    <row r="1795" ht="14.25" customHeight="1">
      <c r="A1795" s="4" t="s">
        <v>1812</v>
      </c>
      <c r="B1795" s="4">
        <v>47013.0</v>
      </c>
      <c r="C1795" s="4" t="s">
        <v>886</v>
      </c>
      <c r="D1795" s="4" t="str">
        <f t="shared" si="1"/>
        <v>MA3</v>
      </c>
      <c r="E1795" s="4">
        <f t="shared" si="2"/>
        <v>3917.75</v>
      </c>
      <c r="F1795" s="4">
        <f t="shared" si="3"/>
        <v>1305.916667</v>
      </c>
      <c r="G1795" s="4">
        <f t="shared" si="4"/>
        <v>3918</v>
      </c>
      <c r="H1795" s="4" t="str">
        <f t="shared" si="5"/>
        <v>Uu tien cao</v>
      </c>
    </row>
    <row r="1796" ht="14.25" customHeight="1">
      <c r="A1796" s="4" t="s">
        <v>1813</v>
      </c>
      <c r="B1796" s="4">
        <v>6209.0</v>
      </c>
      <c r="C1796" s="4" t="s">
        <v>886</v>
      </c>
      <c r="D1796" s="4" t="str">
        <f t="shared" si="1"/>
        <v>MA3</v>
      </c>
      <c r="E1796" s="4">
        <f t="shared" si="2"/>
        <v>517.4166667</v>
      </c>
      <c r="F1796" s="4">
        <f t="shared" si="3"/>
        <v>172.4722222</v>
      </c>
      <c r="G1796" s="4">
        <f t="shared" si="4"/>
        <v>517</v>
      </c>
      <c r="H1796" s="4" t="str">
        <f t="shared" si="5"/>
        <v>Binh thuong</v>
      </c>
    </row>
    <row r="1797" ht="14.25" customHeight="1">
      <c r="A1797" s="4" t="s">
        <v>1814</v>
      </c>
      <c r="B1797" s="4">
        <v>40469.0</v>
      </c>
      <c r="C1797" s="4" t="s">
        <v>886</v>
      </c>
      <c r="D1797" s="4" t="str">
        <f t="shared" si="1"/>
        <v>MA3</v>
      </c>
      <c r="E1797" s="4">
        <f t="shared" si="2"/>
        <v>3372.416667</v>
      </c>
      <c r="F1797" s="4">
        <f t="shared" si="3"/>
        <v>1124.138889</v>
      </c>
      <c r="G1797" s="4">
        <f t="shared" si="4"/>
        <v>3372</v>
      </c>
      <c r="H1797" s="4" t="str">
        <f t="shared" si="5"/>
        <v>Uu tien cao</v>
      </c>
    </row>
    <row r="1798" ht="14.25" customHeight="1">
      <c r="A1798" s="4" t="s">
        <v>1815</v>
      </c>
      <c r="B1798" s="4">
        <v>43837.0</v>
      </c>
      <c r="C1798" s="4" t="s">
        <v>886</v>
      </c>
      <c r="D1798" s="4" t="str">
        <f t="shared" si="1"/>
        <v>MA3</v>
      </c>
      <c r="E1798" s="4">
        <f t="shared" si="2"/>
        <v>3653.083333</v>
      </c>
      <c r="F1798" s="4">
        <f t="shared" si="3"/>
        <v>1217.694444</v>
      </c>
      <c r="G1798" s="4">
        <f t="shared" si="4"/>
        <v>3653</v>
      </c>
      <c r="H1798" s="4" t="str">
        <f t="shared" si="5"/>
        <v>Uu tien cao</v>
      </c>
    </row>
    <row r="1799" ht="14.25" customHeight="1">
      <c r="A1799" s="4" t="s">
        <v>1816</v>
      </c>
      <c r="B1799" s="4">
        <v>7745.0</v>
      </c>
      <c r="C1799" s="4" t="s">
        <v>886</v>
      </c>
      <c r="D1799" s="4" t="str">
        <f t="shared" si="1"/>
        <v>MA3</v>
      </c>
      <c r="E1799" s="4">
        <f t="shared" si="2"/>
        <v>645.4166667</v>
      </c>
      <c r="F1799" s="4">
        <f t="shared" si="3"/>
        <v>215.1388889</v>
      </c>
      <c r="G1799" s="4">
        <f t="shared" si="4"/>
        <v>645</v>
      </c>
      <c r="H1799" s="4" t="str">
        <f t="shared" si="5"/>
        <v>Binh thuong</v>
      </c>
    </row>
    <row r="1800" ht="14.25" customHeight="1">
      <c r="A1800" s="4" t="s">
        <v>1817</v>
      </c>
      <c r="B1800" s="4">
        <v>38577.0</v>
      </c>
      <c r="C1800" s="4" t="s">
        <v>886</v>
      </c>
      <c r="D1800" s="4" t="str">
        <f t="shared" si="1"/>
        <v>MA3</v>
      </c>
      <c r="E1800" s="4">
        <f t="shared" si="2"/>
        <v>3214.75</v>
      </c>
      <c r="F1800" s="4">
        <f t="shared" si="3"/>
        <v>1071.583333</v>
      </c>
      <c r="G1800" s="4">
        <f t="shared" si="4"/>
        <v>3215</v>
      </c>
      <c r="H1800" s="4" t="str">
        <f t="shared" si="5"/>
        <v>Binh thuong</v>
      </c>
    </row>
    <row r="1801" ht="14.25" customHeight="1">
      <c r="A1801" s="4" t="s">
        <v>1818</v>
      </c>
      <c r="B1801" s="4">
        <v>41943.0</v>
      </c>
      <c r="C1801" s="4" t="s">
        <v>886</v>
      </c>
      <c r="D1801" s="4" t="str">
        <f t="shared" si="1"/>
        <v>MA3</v>
      </c>
      <c r="E1801" s="4">
        <f t="shared" si="2"/>
        <v>3495.25</v>
      </c>
      <c r="F1801" s="4">
        <f t="shared" si="3"/>
        <v>1165.083333</v>
      </c>
      <c r="G1801" s="4">
        <f t="shared" si="4"/>
        <v>3495</v>
      </c>
      <c r="H1801" s="4" t="str">
        <f t="shared" si="5"/>
        <v>Uu tien cao</v>
      </c>
    </row>
    <row r="1802" ht="14.25" customHeight="1">
      <c r="A1802" s="4" t="s">
        <v>1819</v>
      </c>
      <c r="B1802" s="4">
        <v>5704.0</v>
      </c>
      <c r="C1802" s="4" t="s">
        <v>886</v>
      </c>
      <c r="D1802" s="4" t="str">
        <f t="shared" si="1"/>
        <v>MA3</v>
      </c>
      <c r="E1802" s="4">
        <f t="shared" si="2"/>
        <v>475.3333333</v>
      </c>
      <c r="F1802" s="4">
        <f t="shared" si="3"/>
        <v>158.4444444</v>
      </c>
      <c r="G1802" s="4">
        <f t="shared" si="4"/>
        <v>475</v>
      </c>
      <c r="H1802" s="4" t="str">
        <f t="shared" si="5"/>
        <v>Binh thuong</v>
      </c>
    </row>
    <row r="1803" ht="14.25" customHeight="1">
      <c r="A1803" s="4" t="s">
        <v>1820</v>
      </c>
      <c r="B1803" s="4">
        <v>37725.0</v>
      </c>
      <c r="C1803" s="4" t="s">
        <v>886</v>
      </c>
      <c r="D1803" s="4" t="str">
        <f t="shared" si="1"/>
        <v>MA3</v>
      </c>
      <c r="E1803" s="4">
        <f t="shared" si="2"/>
        <v>3143.75</v>
      </c>
      <c r="F1803" s="4">
        <f t="shared" si="3"/>
        <v>1047.916667</v>
      </c>
      <c r="G1803" s="4">
        <f t="shared" si="4"/>
        <v>3144</v>
      </c>
      <c r="H1803" s="4" t="str">
        <f t="shared" si="5"/>
        <v>Binh thuong</v>
      </c>
    </row>
    <row r="1804" ht="14.25" customHeight="1">
      <c r="A1804" s="4" t="s">
        <v>1821</v>
      </c>
      <c r="B1804" s="4">
        <v>98483.0</v>
      </c>
      <c r="C1804" s="4" t="s">
        <v>886</v>
      </c>
      <c r="D1804" s="4" t="str">
        <f t="shared" si="1"/>
        <v>MA3</v>
      </c>
      <c r="E1804" s="4">
        <f t="shared" si="2"/>
        <v>8206.916667</v>
      </c>
      <c r="F1804" s="4">
        <f t="shared" si="3"/>
        <v>2735.638889</v>
      </c>
      <c r="G1804" s="4">
        <f t="shared" si="4"/>
        <v>8207</v>
      </c>
      <c r="H1804" s="4" t="str">
        <f t="shared" si="5"/>
        <v>Uu tien cao</v>
      </c>
    </row>
    <row r="1805" ht="14.25" customHeight="1">
      <c r="A1805" s="4" t="s">
        <v>1822</v>
      </c>
      <c r="B1805" s="4">
        <v>11601.0</v>
      </c>
      <c r="C1805" s="4" t="s">
        <v>886</v>
      </c>
      <c r="D1805" s="4" t="str">
        <f t="shared" si="1"/>
        <v>MA3</v>
      </c>
      <c r="E1805" s="4">
        <f t="shared" si="2"/>
        <v>966.75</v>
      </c>
      <c r="F1805" s="4">
        <f t="shared" si="3"/>
        <v>322.25</v>
      </c>
      <c r="G1805" s="4">
        <f t="shared" si="4"/>
        <v>967</v>
      </c>
      <c r="H1805" s="4" t="str">
        <f t="shared" si="5"/>
        <v>Binh thuong</v>
      </c>
    </row>
    <row r="1806" ht="14.25" customHeight="1">
      <c r="A1806" s="4" t="s">
        <v>1823</v>
      </c>
      <c r="B1806" s="4">
        <v>104645.0</v>
      </c>
      <c r="C1806" s="4" t="s">
        <v>886</v>
      </c>
      <c r="D1806" s="4" t="str">
        <f t="shared" si="1"/>
        <v>MA3</v>
      </c>
      <c r="E1806" s="4">
        <f t="shared" si="2"/>
        <v>8720.416667</v>
      </c>
      <c r="F1806" s="4">
        <f t="shared" si="3"/>
        <v>2906.805556</v>
      </c>
      <c r="G1806" s="4">
        <f t="shared" si="4"/>
        <v>8720</v>
      </c>
      <c r="H1806" s="4" t="str">
        <f t="shared" si="5"/>
        <v>Uu tien cao</v>
      </c>
    </row>
    <row r="1807" ht="14.25" customHeight="1">
      <c r="A1807" s="4" t="s">
        <v>1824</v>
      </c>
      <c r="B1807" s="4">
        <v>10170.0</v>
      </c>
      <c r="C1807" s="4" t="s">
        <v>886</v>
      </c>
      <c r="D1807" s="4" t="str">
        <f t="shared" si="1"/>
        <v>MA3</v>
      </c>
      <c r="E1807" s="4">
        <f t="shared" si="2"/>
        <v>847.5</v>
      </c>
      <c r="F1807" s="4">
        <f t="shared" si="3"/>
        <v>282.5</v>
      </c>
      <c r="G1807" s="4">
        <f t="shared" si="4"/>
        <v>848</v>
      </c>
      <c r="H1807" s="4" t="str">
        <f t="shared" si="5"/>
        <v>Binh thuong</v>
      </c>
    </row>
    <row r="1808" ht="14.25" customHeight="1">
      <c r="A1808" s="4" t="s">
        <v>1825</v>
      </c>
      <c r="B1808" s="4">
        <v>1133.0</v>
      </c>
      <c r="C1808" s="4" t="s">
        <v>886</v>
      </c>
      <c r="D1808" s="4" t="str">
        <f t="shared" si="1"/>
        <v>MA3</v>
      </c>
      <c r="E1808" s="4">
        <f t="shared" si="2"/>
        <v>94.41666667</v>
      </c>
      <c r="F1808" s="4">
        <f t="shared" si="3"/>
        <v>31.47222222</v>
      </c>
      <c r="G1808" s="4">
        <f t="shared" si="4"/>
        <v>94</v>
      </c>
      <c r="H1808" s="4" t="str">
        <f t="shared" si="5"/>
        <v>Binh thuong</v>
      </c>
    </row>
    <row r="1809" ht="14.25" customHeight="1">
      <c r="A1809" s="4" t="s">
        <v>1826</v>
      </c>
      <c r="B1809" s="4">
        <v>6564.0</v>
      </c>
      <c r="C1809" s="4" t="s">
        <v>886</v>
      </c>
      <c r="D1809" s="4" t="str">
        <f t="shared" si="1"/>
        <v>MA3</v>
      </c>
      <c r="E1809" s="4">
        <f t="shared" si="2"/>
        <v>547</v>
      </c>
      <c r="F1809" s="4">
        <f t="shared" si="3"/>
        <v>182.3333333</v>
      </c>
      <c r="G1809" s="4">
        <f t="shared" si="4"/>
        <v>547</v>
      </c>
      <c r="H1809" s="4" t="str">
        <f t="shared" si="5"/>
        <v>Binh thuong</v>
      </c>
    </row>
    <row r="1810" ht="14.25" customHeight="1">
      <c r="A1810" s="4" t="s">
        <v>1827</v>
      </c>
      <c r="B1810" s="4">
        <v>47476.0</v>
      </c>
      <c r="C1810" s="4" t="s">
        <v>886</v>
      </c>
      <c r="D1810" s="4" t="str">
        <f t="shared" si="1"/>
        <v>MA3</v>
      </c>
      <c r="E1810" s="4">
        <f t="shared" si="2"/>
        <v>3956.333333</v>
      </c>
      <c r="F1810" s="4">
        <f t="shared" si="3"/>
        <v>1318.777778</v>
      </c>
      <c r="G1810" s="4">
        <f t="shared" si="4"/>
        <v>3956</v>
      </c>
      <c r="H1810" s="4" t="str">
        <f t="shared" si="5"/>
        <v>Uu tien cao</v>
      </c>
    </row>
    <row r="1811" ht="14.25" customHeight="1">
      <c r="A1811" s="4" t="s">
        <v>1828</v>
      </c>
      <c r="B1811" s="4">
        <v>9706.0</v>
      </c>
      <c r="C1811" s="4" t="s">
        <v>886</v>
      </c>
      <c r="D1811" s="4" t="str">
        <f t="shared" si="1"/>
        <v>MA3</v>
      </c>
      <c r="E1811" s="4">
        <f t="shared" si="2"/>
        <v>808.8333333</v>
      </c>
      <c r="F1811" s="4">
        <f t="shared" si="3"/>
        <v>269.6111111</v>
      </c>
      <c r="G1811" s="4">
        <f t="shared" si="4"/>
        <v>809</v>
      </c>
      <c r="H1811" s="4" t="str">
        <f t="shared" si="5"/>
        <v>Binh thuong</v>
      </c>
    </row>
    <row r="1812" ht="14.25" customHeight="1">
      <c r="A1812" s="4" t="s">
        <v>1829</v>
      </c>
      <c r="B1812" s="4">
        <v>38013.0</v>
      </c>
      <c r="C1812" s="4" t="s">
        <v>886</v>
      </c>
      <c r="D1812" s="4" t="str">
        <f t="shared" si="1"/>
        <v>MA3</v>
      </c>
      <c r="E1812" s="4">
        <f t="shared" si="2"/>
        <v>3167.75</v>
      </c>
      <c r="F1812" s="4">
        <f t="shared" si="3"/>
        <v>1055.916667</v>
      </c>
      <c r="G1812" s="4">
        <f t="shared" si="4"/>
        <v>3168</v>
      </c>
      <c r="H1812" s="4" t="str">
        <f t="shared" si="5"/>
        <v>Binh thuong</v>
      </c>
    </row>
    <row r="1813" ht="14.25" customHeight="1">
      <c r="A1813" s="4" t="s">
        <v>1830</v>
      </c>
      <c r="B1813" s="4">
        <v>64177.0</v>
      </c>
      <c r="C1813" s="4" t="s">
        <v>886</v>
      </c>
      <c r="D1813" s="4" t="str">
        <f t="shared" si="1"/>
        <v>MA3</v>
      </c>
      <c r="E1813" s="4">
        <f t="shared" si="2"/>
        <v>5348.083333</v>
      </c>
      <c r="F1813" s="4">
        <f t="shared" si="3"/>
        <v>1782.694444</v>
      </c>
      <c r="G1813" s="4">
        <f t="shared" si="4"/>
        <v>5348</v>
      </c>
      <c r="H1813" s="4" t="str">
        <f t="shared" si="5"/>
        <v>Uu tien cao</v>
      </c>
    </row>
    <row r="1814" ht="14.25" customHeight="1">
      <c r="A1814" s="4" t="s">
        <v>1831</v>
      </c>
      <c r="B1814" s="4">
        <v>5379.0</v>
      </c>
      <c r="C1814" s="4" t="s">
        <v>886</v>
      </c>
      <c r="D1814" s="4" t="str">
        <f t="shared" si="1"/>
        <v>MA3</v>
      </c>
      <c r="E1814" s="4">
        <f t="shared" si="2"/>
        <v>448.25</v>
      </c>
      <c r="F1814" s="4">
        <f t="shared" si="3"/>
        <v>149.4166667</v>
      </c>
      <c r="G1814" s="4">
        <f t="shared" si="4"/>
        <v>448</v>
      </c>
      <c r="H1814" s="4" t="str">
        <f t="shared" si="5"/>
        <v>Binh thuong</v>
      </c>
    </row>
    <row r="1815" ht="14.25" customHeight="1">
      <c r="A1815" s="4" t="s">
        <v>1832</v>
      </c>
      <c r="B1815" s="4">
        <v>36243.0</v>
      </c>
      <c r="C1815" s="4" t="s">
        <v>886</v>
      </c>
      <c r="D1815" s="4" t="str">
        <f t="shared" si="1"/>
        <v>MA3</v>
      </c>
      <c r="E1815" s="4">
        <f t="shared" si="2"/>
        <v>3020.25</v>
      </c>
      <c r="F1815" s="4">
        <f t="shared" si="3"/>
        <v>1006.75</v>
      </c>
      <c r="G1815" s="4">
        <f t="shared" si="4"/>
        <v>3020</v>
      </c>
      <c r="H1815" s="4" t="str">
        <f t="shared" si="5"/>
        <v>Binh thuong</v>
      </c>
    </row>
    <row r="1816" ht="14.25" customHeight="1">
      <c r="A1816" s="4" t="s">
        <v>1833</v>
      </c>
      <c r="B1816" s="4">
        <v>1282.0</v>
      </c>
      <c r="C1816" s="4" t="s">
        <v>886</v>
      </c>
      <c r="D1816" s="4" t="str">
        <f t="shared" si="1"/>
        <v>MA3</v>
      </c>
      <c r="E1816" s="4">
        <f t="shared" si="2"/>
        <v>106.8333333</v>
      </c>
      <c r="F1816" s="4">
        <f t="shared" si="3"/>
        <v>35.61111111</v>
      </c>
      <c r="G1816" s="4">
        <f t="shared" si="4"/>
        <v>107</v>
      </c>
      <c r="H1816" s="4" t="str">
        <f t="shared" si="5"/>
        <v>Binh thuong</v>
      </c>
    </row>
    <row r="1817" ht="14.25" customHeight="1">
      <c r="A1817" s="4" t="s">
        <v>1834</v>
      </c>
      <c r="B1817" s="4">
        <v>4104.0</v>
      </c>
      <c r="C1817" s="4" t="s">
        <v>886</v>
      </c>
      <c r="D1817" s="4" t="str">
        <f t="shared" si="1"/>
        <v>MA3</v>
      </c>
      <c r="E1817" s="4">
        <f t="shared" si="2"/>
        <v>342</v>
      </c>
      <c r="F1817" s="4">
        <f t="shared" si="3"/>
        <v>114</v>
      </c>
      <c r="G1817" s="4">
        <f t="shared" si="4"/>
        <v>342</v>
      </c>
      <c r="H1817" s="4" t="str">
        <f t="shared" si="5"/>
        <v>Binh thuong</v>
      </c>
    </row>
    <row r="1818" ht="14.25" customHeight="1">
      <c r="A1818" s="4" t="s">
        <v>1835</v>
      </c>
      <c r="B1818" s="4">
        <v>37192.0</v>
      </c>
      <c r="C1818" s="4" t="s">
        <v>886</v>
      </c>
      <c r="D1818" s="4" t="str">
        <f t="shared" si="1"/>
        <v>MA3</v>
      </c>
      <c r="E1818" s="4">
        <f t="shared" si="2"/>
        <v>3099.333333</v>
      </c>
      <c r="F1818" s="4">
        <f t="shared" si="3"/>
        <v>1033.111111</v>
      </c>
      <c r="G1818" s="4">
        <f t="shared" si="4"/>
        <v>3099</v>
      </c>
      <c r="H1818" s="4" t="str">
        <f t="shared" si="5"/>
        <v>Binh thuong</v>
      </c>
    </row>
    <row r="1819" ht="14.25" customHeight="1">
      <c r="A1819" s="4" t="s">
        <v>1836</v>
      </c>
      <c r="B1819" s="4">
        <v>32781.0</v>
      </c>
      <c r="C1819" s="4" t="s">
        <v>886</v>
      </c>
      <c r="D1819" s="4" t="str">
        <f t="shared" si="1"/>
        <v>MA3</v>
      </c>
      <c r="E1819" s="4">
        <f t="shared" si="2"/>
        <v>2731.75</v>
      </c>
      <c r="F1819" s="4">
        <f t="shared" si="3"/>
        <v>910.5833333</v>
      </c>
      <c r="G1819" s="4">
        <f t="shared" si="4"/>
        <v>2732</v>
      </c>
      <c r="H1819" s="4" t="str">
        <f t="shared" si="5"/>
        <v>Binh thuong</v>
      </c>
    </row>
    <row r="1820" ht="14.25" customHeight="1">
      <c r="A1820" s="4" t="s">
        <v>1837</v>
      </c>
      <c r="B1820" s="4">
        <v>37179.0</v>
      </c>
      <c r="C1820" s="4" t="s">
        <v>886</v>
      </c>
      <c r="D1820" s="4" t="str">
        <f t="shared" si="1"/>
        <v>MA3</v>
      </c>
      <c r="E1820" s="4">
        <f t="shared" si="2"/>
        <v>3098.25</v>
      </c>
      <c r="F1820" s="4">
        <f t="shared" si="3"/>
        <v>1032.75</v>
      </c>
      <c r="G1820" s="4">
        <f t="shared" si="4"/>
        <v>3098</v>
      </c>
      <c r="H1820" s="4" t="str">
        <f t="shared" si="5"/>
        <v>Binh thuong</v>
      </c>
    </row>
    <row r="1821" ht="14.25" customHeight="1">
      <c r="A1821" s="4" t="s">
        <v>1838</v>
      </c>
      <c r="B1821" s="4">
        <v>83295.0</v>
      </c>
      <c r="C1821" s="4" t="s">
        <v>886</v>
      </c>
      <c r="D1821" s="4" t="str">
        <f t="shared" si="1"/>
        <v>MA3</v>
      </c>
      <c r="E1821" s="4">
        <f t="shared" si="2"/>
        <v>6941.25</v>
      </c>
      <c r="F1821" s="4">
        <f t="shared" si="3"/>
        <v>2313.75</v>
      </c>
      <c r="G1821" s="4">
        <f t="shared" si="4"/>
        <v>6941</v>
      </c>
      <c r="H1821" s="4" t="str">
        <f t="shared" si="5"/>
        <v>Uu tien cao</v>
      </c>
    </row>
    <row r="1822" ht="14.25" customHeight="1">
      <c r="A1822" s="4" t="s">
        <v>1839</v>
      </c>
      <c r="B1822" s="4">
        <v>68934.0</v>
      </c>
      <c r="C1822" s="4" t="s">
        <v>886</v>
      </c>
      <c r="D1822" s="4" t="str">
        <f t="shared" si="1"/>
        <v>MA3</v>
      </c>
      <c r="E1822" s="4">
        <f t="shared" si="2"/>
        <v>5744.5</v>
      </c>
      <c r="F1822" s="4">
        <f t="shared" si="3"/>
        <v>1914.833333</v>
      </c>
      <c r="G1822" s="4">
        <f t="shared" si="4"/>
        <v>5745</v>
      </c>
      <c r="H1822" s="4" t="str">
        <f t="shared" si="5"/>
        <v>Uu tien cao</v>
      </c>
    </row>
    <row r="1823" ht="14.25" customHeight="1">
      <c r="A1823" s="4" t="s">
        <v>1840</v>
      </c>
      <c r="B1823" s="4">
        <v>82979.0</v>
      </c>
      <c r="C1823" s="4" t="s">
        <v>886</v>
      </c>
      <c r="D1823" s="4" t="str">
        <f t="shared" si="1"/>
        <v>MA3</v>
      </c>
      <c r="E1823" s="4">
        <f t="shared" si="2"/>
        <v>6914.916667</v>
      </c>
      <c r="F1823" s="4">
        <f t="shared" si="3"/>
        <v>2304.972222</v>
      </c>
      <c r="G1823" s="4">
        <f t="shared" si="4"/>
        <v>6915</v>
      </c>
      <c r="H1823" s="4" t="str">
        <f t="shared" si="5"/>
        <v>Uu tien cao</v>
      </c>
    </row>
    <row r="1824" ht="14.25" customHeight="1">
      <c r="A1824" s="4" t="s">
        <v>1841</v>
      </c>
      <c r="B1824" s="4">
        <v>72697.0</v>
      </c>
      <c r="C1824" s="4" t="s">
        <v>886</v>
      </c>
      <c r="D1824" s="4" t="str">
        <f t="shared" si="1"/>
        <v>MA3</v>
      </c>
      <c r="E1824" s="4">
        <f t="shared" si="2"/>
        <v>6058.083333</v>
      </c>
      <c r="F1824" s="4">
        <f t="shared" si="3"/>
        <v>2019.361111</v>
      </c>
      <c r="G1824" s="4">
        <f t="shared" si="4"/>
        <v>6058</v>
      </c>
      <c r="H1824" s="4" t="str">
        <f t="shared" si="5"/>
        <v>Uu tien cao</v>
      </c>
    </row>
    <row r="1825" ht="14.25" customHeight="1">
      <c r="A1825" s="4" t="s">
        <v>1842</v>
      </c>
      <c r="B1825" s="4">
        <v>80574.0</v>
      </c>
      <c r="C1825" s="4" t="s">
        <v>886</v>
      </c>
      <c r="D1825" s="4" t="str">
        <f t="shared" si="1"/>
        <v>MA3</v>
      </c>
      <c r="E1825" s="4">
        <f t="shared" si="2"/>
        <v>6714.5</v>
      </c>
      <c r="F1825" s="4">
        <f t="shared" si="3"/>
        <v>2238.166667</v>
      </c>
      <c r="G1825" s="4">
        <f t="shared" si="4"/>
        <v>6715</v>
      </c>
      <c r="H1825" s="4" t="str">
        <f t="shared" si="5"/>
        <v>Uu tien cao</v>
      </c>
    </row>
    <row r="1826" ht="14.25" customHeight="1">
      <c r="A1826" s="4" t="s">
        <v>1843</v>
      </c>
      <c r="B1826" s="4">
        <v>44489.0</v>
      </c>
      <c r="C1826" s="4" t="s">
        <v>886</v>
      </c>
      <c r="D1826" s="4" t="str">
        <f t="shared" si="1"/>
        <v>MA3</v>
      </c>
      <c r="E1826" s="4">
        <f t="shared" si="2"/>
        <v>3707.416667</v>
      </c>
      <c r="F1826" s="4">
        <f t="shared" si="3"/>
        <v>1235.805556</v>
      </c>
      <c r="G1826" s="4">
        <f t="shared" si="4"/>
        <v>3707</v>
      </c>
      <c r="H1826" s="4" t="str">
        <f t="shared" si="5"/>
        <v>Uu tien cao</v>
      </c>
    </row>
    <row r="1827" ht="14.25" customHeight="1">
      <c r="A1827" s="4" t="s">
        <v>1844</v>
      </c>
      <c r="B1827" s="4">
        <v>13294.0</v>
      </c>
      <c r="C1827" s="4" t="s">
        <v>886</v>
      </c>
      <c r="D1827" s="4" t="str">
        <f t="shared" si="1"/>
        <v>MA3</v>
      </c>
      <c r="E1827" s="4">
        <f t="shared" si="2"/>
        <v>1107.833333</v>
      </c>
      <c r="F1827" s="4">
        <f t="shared" si="3"/>
        <v>369.2777778</v>
      </c>
      <c r="G1827" s="4">
        <f t="shared" si="4"/>
        <v>1108</v>
      </c>
      <c r="H1827" s="4" t="str">
        <f t="shared" si="5"/>
        <v>Binh thuong</v>
      </c>
    </row>
    <row r="1828" ht="14.25" customHeight="1">
      <c r="A1828" s="4" t="s">
        <v>1845</v>
      </c>
      <c r="B1828" s="4">
        <v>54826.0</v>
      </c>
      <c r="C1828" s="4" t="s">
        <v>886</v>
      </c>
      <c r="D1828" s="4" t="str">
        <f t="shared" si="1"/>
        <v>MA3</v>
      </c>
      <c r="E1828" s="4">
        <f t="shared" si="2"/>
        <v>4568.833333</v>
      </c>
      <c r="F1828" s="4">
        <f t="shared" si="3"/>
        <v>1522.944444</v>
      </c>
      <c r="G1828" s="4">
        <f t="shared" si="4"/>
        <v>4569</v>
      </c>
      <c r="H1828" s="4" t="str">
        <f t="shared" si="5"/>
        <v>Uu tien cao</v>
      </c>
    </row>
    <row r="1829" ht="14.25" customHeight="1">
      <c r="A1829" s="4" t="s">
        <v>1846</v>
      </c>
      <c r="B1829" s="4">
        <v>38445.0</v>
      </c>
      <c r="C1829" s="4" t="s">
        <v>886</v>
      </c>
      <c r="D1829" s="4" t="str">
        <f t="shared" si="1"/>
        <v>MA3</v>
      </c>
      <c r="E1829" s="4">
        <f t="shared" si="2"/>
        <v>3203.75</v>
      </c>
      <c r="F1829" s="4">
        <f t="shared" si="3"/>
        <v>1067.916667</v>
      </c>
      <c r="G1829" s="4">
        <f t="shared" si="4"/>
        <v>3204</v>
      </c>
      <c r="H1829" s="4" t="str">
        <f t="shared" si="5"/>
        <v>Binh thuong</v>
      </c>
    </row>
    <row r="1830" ht="14.25" customHeight="1">
      <c r="A1830" s="4" t="s">
        <v>1847</v>
      </c>
      <c r="B1830" s="4">
        <v>17644.0</v>
      </c>
      <c r="C1830" s="4" t="s">
        <v>886</v>
      </c>
      <c r="D1830" s="4" t="str">
        <f t="shared" si="1"/>
        <v>MA3</v>
      </c>
      <c r="E1830" s="4">
        <f t="shared" si="2"/>
        <v>1470.333333</v>
      </c>
      <c r="F1830" s="4">
        <f t="shared" si="3"/>
        <v>490.1111111</v>
      </c>
      <c r="G1830" s="4">
        <f t="shared" si="4"/>
        <v>1470</v>
      </c>
      <c r="H1830" s="4" t="str">
        <f t="shared" si="5"/>
        <v>Binh thuong</v>
      </c>
    </row>
    <row r="1831" ht="14.25" customHeight="1">
      <c r="A1831" s="4" t="s">
        <v>1848</v>
      </c>
      <c r="B1831" s="4">
        <v>36938.0</v>
      </c>
      <c r="C1831" s="4" t="s">
        <v>886</v>
      </c>
      <c r="D1831" s="4" t="str">
        <f t="shared" si="1"/>
        <v>MA3</v>
      </c>
      <c r="E1831" s="4">
        <f t="shared" si="2"/>
        <v>3078.166667</v>
      </c>
      <c r="F1831" s="4">
        <f t="shared" si="3"/>
        <v>1026.055556</v>
      </c>
      <c r="G1831" s="4">
        <f t="shared" si="4"/>
        <v>3078</v>
      </c>
      <c r="H1831" s="4" t="str">
        <f t="shared" si="5"/>
        <v>Binh thuong</v>
      </c>
    </row>
    <row r="1832" ht="14.25" customHeight="1">
      <c r="A1832" s="4" t="s">
        <v>1849</v>
      </c>
      <c r="B1832" s="4">
        <v>20425.0</v>
      </c>
      <c r="C1832" s="4" t="s">
        <v>886</v>
      </c>
      <c r="D1832" s="4" t="str">
        <f t="shared" si="1"/>
        <v>MA3</v>
      </c>
      <c r="E1832" s="4">
        <f t="shared" si="2"/>
        <v>1702.083333</v>
      </c>
      <c r="F1832" s="4">
        <f t="shared" si="3"/>
        <v>567.3611111</v>
      </c>
      <c r="G1832" s="4">
        <f t="shared" si="4"/>
        <v>1702</v>
      </c>
      <c r="H1832" s="4" t="str">
        <f t="shared" si="5"/>
        <v>Binh thuong</v>
      </c>
    </row>
    <row r="1833" ht="14.25" customHeight="1">
      <c r="A1833" s="4" t="s">
        <v>1850</v>
      </c>
      <c r="B1833" s="4">
        <v>1803.0</v>
      </c>
      <c r="C1833" s="4" t="s">
        <v>886</v>
      </c>
      <c r="D1833" s="4" t="str">
        <f t="shared" si="1"/>
        <v>MA3</v>
      </c>
      <c r="E1833" s="4">
        <f t="shared" si="2"/>
        <v>150.25</v>
      </c>
      <c r="F1833" s="4">
        <f t="shared" si="3"/>
        <v>50.08333333</v>
      </c>
      <c r="G1833" s="4">
        <f t="shared" si="4"/>
        <v>150</v>
      </c>
      <c r="H1833" s="4" t="str">
        <f t="shared" si="5"/>
        <v>Binh thuong</v>
      </c>
    </row>
    <row r="1834" ht="14.25" customHeight="1">
      <c r="A1834" s="4" t="s">
        <v>1851</v>
      </c>
      <c r="B1834" s="4">
        <v>17599.0</v>
      </c>
      <c r="C1834" s="4" t="s">
        <v>886</v>
      </c>
      <c r="D1834" s="4" t="str">
        <f t="shared" si="1"/>
        <v>MA3</v>
      </c>
      <c r="E1834" s="4">
        <f t="shared" si="2"/>
        <v>1466.583333</v>
      </c>
      <c r="F1834" s="4">
        <f t="shared" si="3"/>
        <v>488.8611111</v>
      </c>
      <c r="G1834" s="4">
        <f t="shared" si="4"/>
        <v>1467</v>
      </c>
      <c r="H1834" s="4" t="str">
        <f t="shared" si="5"/>
        <v>Binh thuong</v>
      </c>
    </row>
    <row r="1835" ht="14.25" customHeight="1">
      <c r="A1835" s="4" t="s">
        <v>1852</v>
      </c>
      <c r="B1835" s="4">
        <v>16522.0</v>
      </c>
      <c r="C1835" s="4" t="s">
        <v>886</v>
      </c>
      <c r="D1835" s="4" t="str">
        <f t="shared" si="1"/>
        <v>MA3</v>
      </c>
      <c r="E1835" s="4">
        <f t="shared" si="2"/>
        <v>1376.833333</v>
      </c>
      <c r="F1835" s="4">
        <f t="shared" si="3"/>
        <v>458.9444444</v>
      </c>
      <c r="G1835" s="4">
        <f t="shared" si="4"/>
        <v>1377</v>
      </c>
      <c r="H1835" s="4" t="str">
        <f t="shared" si="5"/>
        <v>Binh thuong</v>
      </c>
    </row>
    <row r="1836" ht="14.25" customHeight="1">
      <c r="A1836" s="4" t="s">
        <v>1853</v>
      </c>
      <c r="B1836" s="4">
        <v>774.0</v>
      </c>
      <c r="C1836" s="4" t="s">
        <v>886</v>
      </c>
      <c r="D1836" s="4" t="str">
        <f t="shared" si="1"/>
        <v>MA3</v>
      </c>
      <c r="E1836" s="4">
        <f t="shared" si="2"/>
        <v>64.5</v>
      </c>
      <c r="F1836" s="4">
        <f t="shared" si="3"/>
        <v>21.5</v>
      </c>
      <c r="G1836" s="4">
        <f t="shared" si="4"/>
        <v>65</v>
      </c>
      <c r="H1836" s="4" t="str">
        <f t="shared" si="5"/>
        <v>Binh thuong</v>
      </c>
    </row>
    <row r="1837" ht="14.25" customHeight="1">
      <c r="A1837" s="4" t="s">
        <v>1854</v>
      </c>
      <c r="B1837" s="4">
        <v>15236.0</v>
      </c>
      <c r="C1837" s="4" t="s">
        <v>886</v>
      </c>
      <c r="D1837" s="4" t="str">
        <f t="shared" si="1"/>
        <v>MA3</v>
      </c>
      <c r="E1837" s="4">
        <f t="shared" si="2"/>
        <v>1269.666667</v>
      </c>
      <c r="F1837" s="4">
        <f t="shared" si="3"/>
        <v>423.2222222</v>
      </c>
      <c r="G1837" s="4">
        <f t="shared" si="4"/>
        <v>1270</v>
      </c>
      <c r="H1837" s="4" t="str">
        <f t="shared" si="5"/>
        <v>Binh thuong</v>
      </c>
    </row>
    <row r="1838" ht="14.25" customHeight="1">
      <c r="A1838" s="4" t="s">
        <v>1855</v>
      </c>
      <c r="B1838" s="4">
        <v>14290.0</v>
      </c>
      <c r="C1838" s="4" t="s">
        <v>886</v>
      </c>
      <c r="D1838" s="4" t="str">
        <f t="shared" si="1"/>
        <v>MA3</v>
      </c>
      <c r="E1838" s="4">
        <f t="shared" si="2"/>
        <v>1190.833333</v>
      </c>
      <c r="F1838" s="4">
        <f t="shared" si="3"/>
        <v>396.9444444</v>
      </c>
      <c r="G1838" s="4">
        <f t="shared" si="4"/>
        <v>1191</v>
      </c>
      <c r="H1838" s="4" t="str">
        <f t="shared" si="5"/>
        <v>Binh thuong</v>
      </c>
    </row>
    <row r="1839" ht="14.25" customHeight="1">
      <c r="A1839" s="4" t="s">
        <v>1856</v>
      </c>
      <c r="B1839" s="4">
        <v>783.0</v>
      </c>
      <c r="C1839" s="4" t="s">
        <v>886</v>
      </c>
      <c r="D1839" s="4" t="str">
        <f t="shared" si="1"/>
        <v>MA3</v>
      </c>
      <c r="E1839" s="4">
        <f t="shared" si="2"/>
        <v>65.25</v>
      </c>
      <c r="F1839" s="4">
        <f t="shared" si="3"/>
        <v>21.75</v>
      </c>
      <c r="G1839" s="4">
        <f t="shared" si="4"/>
        <v>65</v>
      </c>
      <c r="H1839" s="4" t="str">
        <f t="shared" si="5"/>
        <v>Binh thuong</v>
      </c>
    </row>
    <row r="1840" ht="14.25" customHeight="1">
      <c r="A1840" s="4" t="s">
        <v>1857</v>
      </c>
      <c r="B1840" s="4">
        <v>16051.0</v>
      </c>
      <c r="C1840" s="4" t="s">
        <v>886</v>
      </c>
      <c r="D1840" s="4" t="str">
        <f t="shared" si="1"/>
        <v>MA3</v>
      </c>
      <c r="E1840" s="4">
        <f t="shared" si="2"/>
        <v>1337.583333</v>
      </c>
      <c r="F1840" s="4">
        <f t="shared" si="3"/>
        <v>445.8611111</v>
      </c>
      <c r="G1840" s="4">
        <f t="shared" si="4"/>
        <v>1338</v>
      </c>
      <c r="H1840" s="4" t="str">
        <f t="shared" si="5"/>
        <v>Binh thuong</v>
      </c>
    </row>
    <row r="1841" ht="14.25" customHeight="1">
      <c r="A1841" s="4" t="s">
        <v>1858</v>
      </c>
      <c r="B1841" s="4">
        <v>27921.0</v>
      </c>
      <c r="C1841" s="4" t="s">
        <v>886</v>
      </c>
      <c r="D1841" s="4" t="str">
        <f t="shared" si="1"/>
        <v>MA3</v>
      </c>
      <c r="E1841" s="4">
        <f t="shared" si="2"/>
        <v>2326.75</v>
      </c>
      <c r="F1841" s="4">
        <f t="shared" si="3"/>
        <v>775.5833333</v>
      </c>
      <c r="G1841" s="4">
        <f t="shared" si="4"/>
        <v>2327</v>
      </c>
      <c r="H1841" s="4" t="str">
        <f t="shared" si="5"/>
        <v>Binh thuong</v>
      </c>
    </row>
    <row r="1842" ht="14.25" customHeight="1">
      <c r="A1842" s="4" t="s">
        <v>1859</v>
      </c>
      <c r="B1842" s="4">
        <v>1714.0</v>
      </c>
      <c r="C1842" s="4" t="s">
        <v>886</v>
      </c>
      <c r="D1842" s="4" t="str">
        <f t="shared" si="1"/>
        <v>MA3</v>
      </c>
      <c r="E1842" s="4">
        <f t="shared" si="2"/>
        <v>142.8333333</v>
      </c>
      <c r="F1842" s="4">
        <f t="shared" si="3"/>
        <v>47.61111111</v>
      </c>
      <c r="G1842" s="4">
        <f t="shared" si="4"/>
        <v>143</v>
      </c>
      <c r="H1842" s="4" t="str">
        <f t="shared" si="5"/>
        <v>Binh thuong</v>
      </c>
    </row>
    <row r="1843" ht="14.25" customHeight="1">
      <c r="A1843" s="4" t="s">
        <v>1860</v>
      </c>
      <c r="B1843" s="4">
        <v>15763.0</v>
      </c>
      <c r="C1843" s="4" t="s">
        <v>886</v>
      </c>
      <c r="D1843" s="4" t="str">
        <f t="shared" si="1"/>
        <v>MA3</v>
      </c>
      <c r="E1843" s="4">
        <f t="shared" si="2"/>
        <v>1313.583333</v>
      </c>
      <c r="F1843" s="4">
        <f t="shared" si="3"/>
        <v>437.8611111</v>
      </c>
      <c r="G1843" s="4">
        <f t="shared" si="4"/>
        <v>1314</v>
      </c>
      <c r="H1843" s="4" t="str">
        <f t="shared" si="5"/>
        <v>Binh thuong</v>
      </c>
    </row>
    <row r="1844" ht="14.25" customHeight="1">
      <c r="A1844" s="4" t="s">
        <v>1861</v>
      </c>
      <c r="B1844" s="4">
        <v>41810.0</v>
      </c>
      <c r="C1844" s="4" t="s">
        <v>886</v>
      </c>
      <c r="D1844" s="4" t="str">
        <f t="shared" si="1"/>
        <v>MA3</v>
      </c>
      <c r="E1844" s="4">
        <f t="shared" si="2"/>
        <v>3484.166667</v>
      </c>
      <c r="F1844" s="4">
        <f t="shared" si="3"/>
        <v>1161.388889</v>
      </c>
      <c r="G1844" s="4">
        <f t="shared" si="4"/>
        <v>3484</v>
      </c>
      <c r="H1844" s="4" t="str">
        <f t="shared" si="5"/>
        <v>Uu tien cao</v>
      </c>
    </row>
    <row r="1845" ht="14.25" customHeight="1">
      <c r="A1845" s="4" t="s">
        <v>1862</v>
      </c>
      <c r="B1845" s="4">
        <v>42528.0</v>
      </c>
      <c r="C1845" s="4" t="s">
        <v>886</v>
      </c>
      <c r="D1845" s="4" t="str">
        <f t="shared" si="1"/>
        <v>MA3</v>
      </c>
      <c r="E1845" s="4">
        <f t="shared" si="2"/>
        <v>3544</v>
      </c>
      <c r="F1845" s="4">
        <f t="shared" si="3"/>
        <v>1181.333333</v>
      </c>
      <c r="G1845" s="4">
        <f t="shared" si="4"/>
        <v>3544</v>
      </c>
      <c r="H1845" s="4" t="str">
        <f t="shared" si="5"/>
        <v>Uu tien cao</v>
      </c>
    </row>
    <row r="1846" ht="14.25" customHeight="1">
      <c r="A1846" s="4" t="s">
        <v>1863</v>
      </c>
      <c r="B1846" s="4">
        <v>65036.0</v>
      </c>
      <c r="C1846" s="4" t="s">
        <v>886</v>
      </c>
      <c r="D1846" s="4" t="str">
        <f t="shared" si="1"/>
        <v>MA3</v>
      </c>
      <c r="E1846" s="4">
        <f t="shared" si="2"/>
        <v>5419.666667</v>
      </c>
      <c r="F1846" s="4">
        <f t="shared" si="3"/>
        <v>1806.555556</v>
      </c>
      <c r="G1846" s="4">
        <f t="shared" si="4"/>
        <v>5420</v>
      </c>
      <c r="H1846" s="4" t="str">
        <f t="shared" si="5"/>
        <v>Uu tien cao</v>
      </c>
    </row>
    <row r="1847" ht="14.25" customHeight="1">
      <c r="A1847" s="4" t="s">
        <v>1864</v>
      </c>
      <c r="B1847" s="4">
        <v>47625.0</v>
      </c>
      <c r="C1847" s="4" t="s">
        <v>886</v>
      </c>
      <c r="D1847" s="4" t="str">
        <f t="shared" si="1"/>
        <v>MA3</v>
      </c>
      <c r="E1847" s="4">
        <f t="shared" si="2"/>
        <v>3968.75</v>
      </c>
      <c r="F1847" s="4">
        <f t="shared" si="3"/>
        <v>1322.916667</v>
      </c>
      <c r="G1847" s="4">
        <f t="shared" si="4"/>
        <v>3969</v>
      </c>
      <c r="H1847" s="4" t="str">
        <f t="shared" si="5"/>
        <v>Uu tien cao</v>
      </c>
    </row>
    <row r="1848" ht="14.25" customHeight="1">
      <c r="A1848" s="4" t="s">
        <v>1865</v>
      </c>
      <c r="B1848" s="4">
        <v>63769.0</v>
      </c>
      <c r="C1848" s="4" t="s">
        <v>886</v>
      </c>
      <c r="D1848" s="4" t="str">
        <f t="shared" si="1"/>
        <v>MA3</v>
      </c>
      <c r="E1848" s="4">
        <f t="shared" si="2"/>
        <v>5314.083333</v>
      </c>
      <c r="F1848" s="4">
        <f t="shared" si="3"/>
        <v>1771.361111</v>
      </c>
      <c r="G1848" s="4">
        <f t="shared" si="4"/>
        <v>5314</v>
      </c>
      <c r="H1848" s="4" t="str">
        <f t="shared" si="5"/>
        <v>Uu tien cao</v>
      </c>
    </row>
    <row r="1849" ht="14.25" customHeight="1">
      <c r="A1849" s="4" t="s">
        <v>1866</v>
      </c>
      <c r="B1849" s="4">
        <v>77268.0</v>
      </c>
      <c r="C1849" s="4" t="s">
        <v>886</v>
      </c>
      <c r="D1849" s="4" t="str">
        <f t="shared" si="1"/>
        <v>MA3</v>
      </c>
      <c r="E1849" s="4">
        <f t="shared" si="2"/>
        <v>6439</v>
      </c>
      <c r="F1849" s="4">
        <f t="shared" si="3"/>
        <v>2146.333333</v>
      </c>
      <c r="G1849" s="4">
        <f t="shared" si="4"/>
        <v>6439</v>
      </c>
      <c r="H1849" s="4" t="str">
        <f t="shared" si="5"/>
        <v>Uu tien cao</v>
      </c>
    </row>
    <row r="1850" ht="14.25" customHeight="1">
      <c r="A1850" s="4" t="s">
        <v>1867</v>
      </c>
      <c r="B1850" s="4">
        <v>63467.0</v>
      </c>
      <c r="C1850" s="4" t="s">
        <v>886</v>
      </c>
      <c r="D1850" s="4" t="str">
        <f t="shared" si="1"/>
        <v>MA3</v>
      </c>
      <c r="E1850" s="4">
        <f t="shared" si="2"/>
        <v>5288.916667</v>
      </c>
      <c r="F1850" s="4">
        <f t="shared" si="3"/>
        <v>1762.972222</v>
      </c>
      <c r="G1850" s="4">
        <f t="shared" si="4"/>
        <v>5289</v>
      </c>
      <c r="H1850" s="4" t="str">
        <f t="shared" si="5"/>
        <v>Uu tien cao</v>
      </c>
    </row>
    <row r="1851" ht="14.25" customHeight="1">
      <c r="A1851" s="4" t="s">
        <v>1868</v>
      </c>
      <c r="B1851" s="4">
        <v>67023.0</v>
      </c>
      <c r="C1851" s="4" t="s">
        <v>886</v>
      </c>
      <c r="D1851" s="4" t="str">
        <f t="shared" si="1"/>
        <v>MA3</v>
      </c>
      <c r="E1851" s="4">
        <f t="shared" si="2"/>
        <v>5585.25</v>
      </c>
      <c r="F1851" s="4">
        <f t="shared" si="3"/>
        <v>1861.75</v>
      </c>
      <c r="G1851" s="4">
        <f t="shared" si="4"/>
        <v>5585</v>
      </c>
      <c r="H1851" s="4" t="str">
        <f t="shared" si="5"/>
        <v>Uu tien cao</v>
      </c>
    </row>
    <row r="1852" ht="14.25" customHeight="1">
      <c r="A1852" s="4" t="s">
        <v>1869</v>
      </c>
      <c r="B1852" s="4">
        <v>26524.0</v>
      </c>
      <c r="C1852" s="4" t="s">
        <v>886</v>
      </c>
      <c r="D1852" s="4" t="str">
        <f t="shared" si="1"/>
        <v>MA3</v>
      </c>
      <c r="E1852" s="4">
        <f t="shared" si="2"/>
        <v>2210.333333</v>
      </c>
      <c r="F1852" s="4">
        <f t="shared" si="3"/>
        <v>736.7777778</v>
      </c>
      <c r="G1852" s="4">
        <f t="shared" si="4"/>
        <v>2210</v>
      </c>
      <c r="H1852" s="4" t="str">
        <f t="shared" si="5"/>
        <v>Binh thuong</v>
      </c>
    </row>
    <row r="1853" ht="14.25" customHeight="1">
      <c r="A1853" s="4" t="s">
        <v>1870</v>
      </c>
      <c r="B1853" s="4">
        <v>3775.0</v>
      </c>
      <c r="C1853" s="4" t="s">
        <v>886</v>
      </c>
      <c r="D1853" s="4" t="str">
        <f t="shared" si="1"/>
        <v>MA3</v>
      </c>
      <c r="E1853" s="4">
        <f t="shared" si="2"/>
        <v>314.5833333</v>
      </c>
      <c r="F1853" s="4">
        <f t="shared" si="3"/>
        <v>104.8611111</v>
      </c>
      <c r="G1853" s="4">
        <f t="shared" si="4"/>
        <v>315</v>
      </c>
      <c r="H1853" s="4" t="str">
        <f t="shared" si="5"/>
        <v>Binh thuong</v>
      </c>
    </row>
    <row r="1854" ht="14.25" customHeight="1">
      <c r="A1854" s="4" t="s">
        <v>1871</v>
      </c>
      <c r="B1854" s="4">
        <v>13711.0</v>
      </c>
      <c r="C1854" s="4" t="s">
        <v>886</v>
      </c>
      <c r="D1854" s="4" t="str">
        <f t="shared" si="1"/>
        <v>MA3</v>
      </c>
      <c r="E1854" s="4">
        <f t="shared" si="2"/>
        <v>1142.583333</v>
      </c>
      <c r="F1854" s="4">
        <f t="shared" si="3"/>
        <v>380.8611111</v>
      </c>
      <c r="G1854" s="4">
        <f t="shared" si="4"/>
        <v>1143</v>
      </c>
      <c r="H1854" s="4" t="str">
        <f t="shared" si="5"/>
        <v>Binh thuong</v>
      </c>
    </row>
    <row r="1855" ht="14.25" customHeight="1">
      <c r="A1855" s="4" t="s">
        <v>1872</v>
      </c>
      <c r="B1855" s="4">
        <v>21312.0</v>
      </c>
      <c r="C1855" s="4" t="s">
        <v>886</v>
      </c>
      <c r="D1855" s="4" t="str">
        <f t="shared" si="1"/>
        <v>MA3</v>
      </c>
      <c r="E1855" s="4">
        <f t="shared" si="2"/>
        <v>1776</v>
      </c>
      <c r="F1855" s="4">
        <f t="shared" si="3"/>
        <v>592</v>
      </c>
      <c r="G1855" s="4">
        <f t="shared" si="4"/>
        <v>1776</v>
      </c>
      <c r="H1855" s="4" t="str">
        <f t="shared" si="5"/>
        <v>Binh thuong</v>
      </c>
    </row>
    <row r="1856" ht="14.25" customHeight="1">
      <c r="A1856" s="4" t="s">
        <v>1873</v>
      </c>
      <c r="B1856" s="4">
        <v>116785.0</v>
      </c>
      <c r="C1856" s="4" t="s">
        <v>886</v>
      </c>
      <c r="D1856" s="4" t="str">
        <f t="shared" si="1"/>
        <v>MA3</v>
      </c>
      <c r="E1856" s="4">
        <f t="shared" si="2"/>
        <v>9732.083333</v>
      </c>
      <c r="F1856" s="4">
        <f t="shared" si="3"/>
        <v>3244.027778</v>
      </c>
      <c r="G1856" s="4">
        <f t="shared" si="4"/>
        <v>9732</v>
      </c>
      <c r="H1856" s="4" t="str">
        <f t="shared" si="5"/>
        <v>Uu tien cao</v>
      </c>
    </row>
    <row r="1857" ht="14.25" customHeight="1">
      <c r="A1857" s="4" t="s">
        <v>1874</v>
      </c>
      <c r="B1857" s="4">
        <v>103047.0</v>
      </c>
      <c r="C1857" s="4" t="s">
        <v>886</v>
      </c>
      <c r="D1857" s="4" t="str">
        <f t="shared" si="1"/>
        <v>MA3</v>
      </c>
      <c r="E1857" s="4">
        <f t="shared" si="2"/>
        <v>8587.25</v>
      </c>
      <c r="F1857" s="4">
        <f t="shared" si="3"/>
        <v>2862.416667</v>
      </c>
      <c r="G1857" s="4">
        <f t="shared" si="4"/>
        <v>8587</v>
      </c>
      <c r="H1857" s="4" t="str">
        <f t="shared" si="5"/>
        <v>Uu tien cao</v>
      </c>
    </row>
    <row r="1858" ht="14.25" customHeight="1">
      <c r="A1858" s="4" t="s">
        <v>1875</v>
      </c>
      <c r="B1858" s="4">
        <v>144297.0</v>
      </c>
      <c r="C1858" s="4" t="s">
        <v>886</v>
      </c>
      <c r="D1858" s="4" t="str">
        <f t="shared" si="1"/>
        <v>MA3</v>
      </c>
      <c r="E1858" s="4">
        <f t="shared" si="2"/>
        <v>12024.75</v>
      </c>
      <c r="F1858" s="4">
        <f t="shared" si="3"/>
        <v>4008.25</v>
      </c>
      <c r="G1858" s="4">
        <f t="shared" si="4"/>
        <v>12025</v>
      </c>
      <c r="H1858" s="4" t="str">
        <f t="shared" si="5"/>
        <v>Uu tien cao</v>
      </c>
    </row>
    <row r="1859" ht="14.25" customHeight="1">
      <c r="A1859" s="4" t="s">
        <v>1876</v>
      </c>
      <c r="B1859" s="4">
        <v>73971.0</v>
      </c>
      <c r="C1859" s="4" t="s">
        <v>886</v>
      </c>
      <c r="D1859" s="4" t="str">
        <f t="shared" si="1"/>
        <v>MA3</v>
      </c>
      <c r="E1859" s="4">
        <f t="shared" si="2"/>
        <v>6164.25</v>
      </c>
      <c r="F1859" s="4">
        <f t="shared" si="3"/>
        <v>2054.75</v>
      </c>
      <c r="G1859" s="4">
        <f t="shared" si="4"/>
        <v>6164</v>
      </c>
      <c r="H1859" s="4" t="str">
        <f t="shared" si="5"/>
        <v>Uu tien cao</v>
      </c>
    </row>
    <row r="1860" ht="14.25" customHeight="1">
      <c r="A1860" s="4" t="s">
        <v>1877</v>
      </c>
      <c r="B1860" s="4">
        <v>198889.0</v>
      </c>
      <c r="C1860" s="4" t="s">
        <v>886</v>
      </c>
      <c r="D1860" s="4" t="str">
        <f t="shared" si="1"/>
        <v>MA3</v>
      </c>
      <c r="E1860" s="4">
        <f t="shared" si="2"/>
        <v>16574.08333</v>
      </c>
      <c r="F1860" s="4">
        <f t="shared" si="3"/>
        <v>5524.694444</v>
      </c>
      <c r="G1860" s="4">
        <f t="shared" si="4"/>
        <v>16574</v>
      </c>
      <c r="H1860" s="4" t="str">
        <f t="shared" si="5"/>
        <v>Uu tien cao</v>
      </c>
    </row>
    <row r="1861" ht="14.25" customHeight="1">
      <c r="A1861" s="4" t="s">
        <v>1878</v>
      </c>
      <c r="B1861" s="4">
        <v>108388.0</v>
      </c>
      <c r="C1861" s="4" t="s">
        <v>886</v>
      </c>
      <c r="D1861" s="4" t="str">
        <f t="shared" si="1"/>
        <v>MA3</v>
      </c>
      <c r="E1861" s="4">
        <f t="shared" si="2"/>
        <v>9032.333333</v>
      </c>
      <c r="F1861" s="4">
        <f t="shared" si="3"/>
        <v>3010.777778</v>
      </c>
      <c r="G1861" s="4">
        <f t="shared" si="4"/>
        <v>9032</v>
      </c>
      <c r="H1861" s="4" t="str">
        <f t="shared" si="5"/>
        <v>Uu tien cao</v>
      </c>
    </row>
    <row r="1862" ht="14.25" customHeight="1">
      <c r="A1862" s="4" t="s">
        <v>1879</v>
      </c>
      <c r="B1862" s="4">
        <v>27348.0</v>
      </c>
      <c r="C1862" s="4" t="s">
        <v>886</v>
      </c>
      <c r="D1862" s="4" t="str">
        <f t="shared" si="1"/>
        <v>MA3</v>
      </c>
      <c r="E1862" s="4">
        <f t="shared" si="2"/>
        <v>2279</v>
      </c>
      <c r="F1862" s="4">
        <f t="shared" si="3"/>
        <v>759.6666667</v>
      </c>
      <c r="G1862" s="4">
        <f t="shared" si="4"/>
        <v>2279</v>
      </c>
      <c r="H1862" s="4" t="str">
        <f t="shared" si="5"/>
        <v>Binh thuong</v>
      </c>
    </row>
    <row r="1863" ht="14.25" customHeight="1">
      <c r="A1863" s="4" t="s">
        <v>1880</v>
      </c>
      <c r="B1863" s="4">
        <v>22936.0</v>
      </c>
      <c r="C1863" s="4" t="s">
        <v>886</v>
      </c>
      <c r="D1863" s="4" t="str">
        <f t="shared" si="1"/>
        <v>MA3</v>
      </c>
      <c r="E1863" s="4">
        <f t="shared" si="2"/>
        <v>1911.333333</v>
      </c>
      <c r="F1863" s="4">
        <f t="shared" si="3"/>
        <v>637.1111111</v>
      </c>
      <c r="G1863" s="4">
        <f t="shared" si="4"/>
        <v>1911</v>
      </c>
      <c r="H1863" s="4" t="str">
        <f t="shared" si="5"/>
        <v>Binh thuong</v>
      </c>
    </row>
    <row r="1864" ht="14.25" customHeight="1">
      <c r="A1864" s="4" t="s">
        <v>1881</v>
      </c>
      <c r="B1864" s="4">
        <v>48429.0</v>
      </c>
      <c r="C1864" s="4" t="s">
        <v>886</v>
      </c>
      <c r="D1864" s="4" t="str">
        <f t="shared" si="1"/>
        <v>MA3</v>
      </c>
      <c r="E1864" s="4">
        <f t="shared" si="2"/>
        <v>4035.75</v>
      </c>
      <c r="F1864" s="4">
        <f t="shared" si="3"/>
        <v>1345.25</v>
      </c>
      <c r="G1864" s="4">
        <f t="shared" si="4"/>
        <v>4036</v>
      </c>
      <c r="H1864" s="4" t="str">
        <f t="shared" si="5"/>
        <v>Uu tien cao</v>
      </c>
    </row>
    <row r="1865" ht="14.25" customHeight="1">
      <c r="A1865" s="4" t="s">
        <v>1882</v>
      </c>
      <c r="B1865" s="4">
        <v>44216.0</v>
      </c>
      <c r="C1865" s="4" t="s">
        <v>886</v>
      </c>
      <c r="D1865" s="4" t="str">
        <f t="shared" si="1"/>
        <v>MA3</v>
      </c>
      <c r="E1865" s="4">
        <f t="shared" si="2"/>
        <v>3684.666667</v>
      </c>
      <c r="F1865" s="4">
        <f t="shared" si="3"/>
        <v>1228.222222</v>
      </c>
      <c r="G1865" s="4">
        <f t="shared" si="4"/>
        <v>3685</v>
      </c>
      <c r="H1865" s="4" t="str">
        <f t="shared" si="5"/>
        <v>Uu tien cao</v>
      </c>
    </row>
    <row r="1866" ht="14.25" customHeight="1">
      <c r="A1866" s="4" t="s">
        <v>1883</v>
      </c>
      <c r="B1866" s="4">
        <v>63615.0</v>
      </c>
      <c r="C1866" s="4" t="s">
        <v>886</v>
      </c>
      <c r="D1866" s="4" t="str">
        <f t="shared" si="1"/>
        <v>MA3</v>
      </c>
      <c r="E1866" s="4">
        <f t="shared" si="2"/>
        <v>5301.25</v>
      </c>
      <c r="F1866" s="4">
        <f t="shared" si="3"/>
        <v>1767.083333</v>
      </c>
      <c r="G1866" s="4">
        <f t="shared" si="4"/>
        <v>5301</v>
      </c>
      <c r="H1866" s="4" t="str">
        <f t="shared" si="5"/>
        <v>Uu tien cao</v>
      </c>
    </row>
    <row r="1867" ht="14.25" customHeight="1">
      <c r="A1867" s="4" t="s">
        <v>1884</v>
      </c>
      <c r="B1867" s="4">
        <v>43675.0</v>
      </c>
      <c r="C1867" s="4" t="s">
        <v>886</v>
      </c>
      <c r="D1867" s="4" t="str">
        <f t="shared" si="1"/>
        <v>MA3</v>
      </c>
      <c r="E1867" s="4">
        <f t="shared" si="2"/>
        <v>3639.583333</v>
      </c>
      <c r="F1867" s="4">
        <f t="shared" si="3"/>
        <v>1213.194444</v>
      </c>
      <c r="G1867" s="4">
        <f t="shared" si="4"/>
        <v>3640</v>
      </c>
      <c r="H1867" s="4" t="str">
        <f t="shared" si="5"/>
        <v>Uu tien cao</v>
      </c>
    </row>
    <row r="1868" ht="14.25" customHeight="1">
      <c r="A1868" s="4" t="s">
        <v>1885</v>
      </c>
      <c r="B1868" s="4">
        <v>54693.0</v>
      </c>
      <c r="C1868" s="4" t="s">
        <v>886</v>
      </c>
      <c r="D1868" s="4" t="str">
        <f t="shared" si="1"/>
        <v>MA3</v>
      </c>
      <c r="E1868" s="4">
        <f t="shared" si="2"/>
        <v>4557.75</v>
      </c>
      <c r="F1868" s="4">
        <f t="shared" si="3"/>
        <v>1519.25</v>
      </c>
      <c r="G1868" s="4">
        <f t="shared" si="4"/>
        <v>4558</v>
      </c>
      <c r="H1868" s="4" t="str">
        <f t="shared" si="5"/>
        <v>Uu tien cao</v>
      </c>
    </row>
    <row r="1869" ht="14.25" customHeight="1">
      <c r="A1869" s="4" t="s">
        <v>1886</v>
      </c>
      <c r="B1869" s="4">
        <v>49299.0</v>
      </c>
      <c r="C1869" s="4" t="s">
        <v>886</v>
      </c>
      <c r="D1869" s="4" t="str">
        <f t="shared" si="1"/>
        <v>MA3</v>
      </c>
      <c r="E1869" s="4">
        <f t="shared" si="2"/>
        <v>4108.25</v>
      </c>
      <c r="F1869" s="4">
        <f t="shared" si="3"/>
        <v>1369.416667</v>
      </c>
      <c r="G1869" s="4">
        <f t="shared" si="4"/>
        <v>4108</v>
      </c>
      <c r="H1869" s="4" t="str">
        <f t="shared" si="5"/>
        <v>Uu tien cao</v>
      </c>
    </row>
    <row r="1870" ht="14.25" customHeight="1">
      <c r="A1870" s="4" t="s">
        <v>1887</v>
      </c>
      <c r="B1870" s="4">
        <v>984796.0</v>
      </c>
      <c r="C1870" s="4" t="s">
        <v>886</v>
      </c>
      <c r="D1870" s="4" t="str">
        <f t="shared" si="1"/>
        <v>MA3</v>
      </c>
      <c r="E1870" s="4">
        <f t="shared" si="2"/>
        <v>82066.33333</v>
      </c>
      <c r="F1870" s="4">
        <f t="shared" si="3"/>
        <v>27355.44444</v>
      </c>
      <c r="G1870" s="4">
        <f t="shared" si="4"/>
        <v>82066</v>
      </c>
      <c r="H1870" s="4" t="str">
        <f t="shared" si="5"/>
        <v>Uu tien cao</v>
      </c>
    </row>
    <row r="1871" ht="14.25" customHeight="1">
      <c r="A1871" s="4" t="s">
        <v>1888</v>
      </c>
      <c r="B1871" s="4">
        <v>3748.0</v>
      </c>
      <c r="C1871" s="4" t="s">
        <v>886</v>
      </c>
      <c r="D1871" s="4" t="str">
        <f t="shared" si="1"/>
        <v>MA3</v>
      </c>
      <c r="E1871" s="4">
        <f t="shared" si="2"/>
        <v>312.3333333</v>
      </c>
      <c r="F1871" s="4">
        <f t="shared" si="3"/>
        <v>104.1111111</v>
      </c>
      <c r="G1871" s="4">
        <f t="shared" si="4"/>
        <v>312</v>
      </c>
      <c r="H1871" s="4" t="str">
        <f t="shared" si="5"/>
        <v>Binh thuong</v>
      </c>
    </row>
    <row r="1872" ht="14.25" customHeight="1">
      <c r="A1872" s="4" t="s">
        <v>1889</v>
      </c>
      <c r="B1872" s="4">
        <v>53405.0</v>
      </c>
      <c r="C1872" s="4" t="s">
        <v>886</v>
      </c>
      <c r="D1872" s="4" t="str">
        <f t="shared" si="1"/>
        <v>MA3</v>
      </c>
      <c r="E1872" s="4">
        <f t="shared" si="2"/>
        <v>4450.416667</v>
      </c>
      <c r="F1872" s="4">
        <f t="shared" si="3"/>
        <v>1483.472222</v>
      </c>
      <c r="G1872" s="4">
        <f t="shared" si="4"/>
        <v>4450</v>
      </c>
      <c r="H1872" s="4" t="str">
        <f t="shared" si="5"/>
        <v>Uu tien cao</v>
      </c>
    </row>
    <row r="1873" ht="14.25" customHeight="1">
      <c r="A1873" s="4" t="s">
        <v>1890</v>
      </c>
      <c r="B1873" s="4">
        <v>6206.0</v>
      </c>
      <c r="C1873" s="4" t="s">
        <v>886</v>
      </c>
      <c r="D1873" s="4" t="str">
        <f t="shared" si="1"/>
        <v>MA3</v>
      </c>
      <c r="E1873" s="4">
        <f t="shared" si="2"/>
        <v>517.1666667</v>
      </c>
      <c r="F1873" s="4">
        <f t="shared" si="3"/>
        <v>172.3888889</v>
      </c>
      <c r="G1873" s="4">
        <f t="shared" si="4"/>
        <v>517</v>
      </c>
      <c r="H1873" s="4" t="str">
        <f t="shared" si="5"/>
        <v>Binh thuong</v>
      </c>
    </row>
    <row r="1874" ht="14.25" customHeight="1">
      <c r="A1874" s="4" t="s">
        <v>1891</v>
      </c>
      <c r="B1874" s="4">
        <v>62052.0</v>
      </c>
      <c r="C1874" s="4" t="s">
        <v>886</v>
      </c>
      <c r="D1874" s="4" t="str">
        <f t="shared" si="1"/>
        <v>MA3</v>
      </c>
      <c r="E1874" s="4">
        <f t="shared" si="2"/>
        <v>5171</v>
      </c>
      <c r="F1874" s="4">
        <f t="shared" si="3"/>
        <v>1723.666667</v>
      </c>
      <c r="G1874" s="4">
        <f t="shared" si="4"/>
        <v>5171</v>
      </c>
      <c r="H1874" s="4" t="str">
        <f t="shared" si="5"/>
        <v>Uu tien cao</v>
      </c>
    </row>
    <row r="1875" ht="14.25" customHeight="1">
      <c r="A1875" s="4" t="s">
        <v>1892</v>
      </c>
      <c r="B1875" s="4">
        <v>895035.0</v>
      </c>
      <c r="C1875" s="4" t="s">
        <v>886</v>
      </c>
      <c r="D1875" s="4" t="str">
        <f t="shared" si="1"/>
        <v>MA3</v>
      </c>
      <c r="E1875" s="4">
        <f t="shared" si="2"/>
        <v>74586.25</v>
      </c>
      <c r="F1875" s="4">
        <f t="shared" si="3"/>
        <v>24862.08333</v>
      </c>
      <c r="G1875" s="4">
        <f t="shared" si="4"/>
        <v>74586</v>
      </c>
      <c r="H1875" s="4" t="str">
        <f t="shared" si="5"/>
        <v>Uu tien cao</v>
      </c>
    </row>
    <row r="1876" ht="14.25" customHeight="1">
      <c r="A1876" s="4" t="s">
        <v>1893</v>
      </c>
      <c r="B1876" s="4">
        <v>4576.0</v>
      </c>
      <c r="C1876" s="4" t="s">
        <v>886</v>
      </c>
      <c r="D1876" s="4" t="str">
        <f t="shared" si="1"/>
        <v>MA3</v>
      </c>
      <c r="E1876" s="4">
        <f t="shared" si="2"/>
        <v>381.3333333</v>
      </c>
      <c r="F1876" s="4">
        <f t="shared" si="3"/>
        <v>127.1111111</v>
      </c>
      <c r="G1876" s="4">
        <f t="shared" si="4"/>
        <v>381</v>
      </c>
      <c r="H1876" s="4" t="str">
        <f t="shared" si="5"/>
        <v>Binh thuong</v>
      </c>
    </row>
    <row r="1877" ht="14.25" customHeight="1">
      <c r="A1877" s="4" t="s">
        <v>1894</v>
      </c>
      <c r="B1877" s="4">
        <v>45076.0</v>
      </c>
      <c r="C1877" s="4" t="s">
        <v>886</v>
      </c>
      <c r="D1877" s="4" t="str">
        <f t="shared" si="1"/>
        <v>MA3</v>
      </c>
      <c r="E1877" s="4">
        <f t="shared" si="2"/>
        <v>3756.333333</v>
      </c>
      <c r="F1877" s="4">
        <f t="shared" si="3"/>
        <v>1252.111111</v>
      </c>
      <c r="G1877" s="4">
        <f t="shared" si="4"/>
        <v>3756</v>
      </c>
      <c r="H1877" s="4" t="str">
        <f t="shared" si="5"/>
        <v>Uu tien cao</v>
      </c>
    </row>
    <row r="1878" ht="14.25" customHeight="1">
      <c r="A1878" s="4" t="s">
        <v>1895</v>
      </c>
      <c r="B1878" s="4">
        <v>9026.0</v>
      </c>
      <c r="C1878" s="4" t="s">
        <v>886</v>
      </c>
      <c r="D1878" s="4" t="str">
        <f t="shared" si="1"/>
        <v>MA3</v>
      </c>
      <c r="E1878" s="4">
        <f t="shared" si="2"/>
        <v>752.1666667</v>
      </c>
      <c r="F1878" s="4">
        <f t="shared" si="3"/>
        <v>250.7222222</v>
      </c>
      <c r="G1878" s="4">
        <f t="shared" si="4"/>
        <v>752</v>
      </c>
      <c r="H1878" s="4" t="str">
        <f t="shared" si="5"/>
        <v>Binh thuong</v>
      </c>
    </row>
    <row r="1879" ht="14.25" customHeight="1">
      <c r="A1879" s="4" t="s">
        <v>1896</v>
      </c>
      <c r="B1879" s="4">
        <v>83208.0</v>
      </c>
      <c r="C1879" s="4" t="s">
        <v>886</v>
      </c>
      <c r="D1879" s="4" t="str">
        <f t="shared" si="1"/>
        <v>MA3</v>
      </c>
      <c r="E1879" s="4">
        <f t="shared" si="2"/>
        <v>6934</v>
      </c>
      <c r="F1879" s="4">
        <f t="shared" si="3"/>
        <v>2311.333333</v>
      </c>
      <c r="G1879" s="4">
        <f t="shared" si="4"/>
        <v>6934</v>
      </c>
      <c r="H1879" s="4" t="str">
        <f t="shared" si="5"/>
        <v>Uu tien cao</v>
      </c>
    </row>
    <row r="1880" ht="14.25" customHeight="1">
      <c r="A1880" s="4" t="s">
        <v>1897</v>
      </c>
      <c r="B1880" s="4">
        <v>375019.0</v>
      </c>
      <c r="C1880" s="4" t="s">
        <v>886</v>
      </c>
      <c r="D1880" s="4" t="str">
        <f t="shared" si="1"/>
        <v>MA3</v>
      </c>
      <c r="E1880" s="4">
        <f t="shared" si="2"/>
        <v>31251.58333</v>
      </c>
      <c r="F1880" s="4">
        <f t="shared" si="3"/>
        <v>10417.19444</v>
      </c>
      <c r="G1880" s="4">
        <f t="shared" si="4"/>
        <v>31252</v>
      </c>
      <c r="H1880" s="4" t="str">
        <f t="shared" si="5"/>
        <v>Uu tien cao</v>
      </c>
    </row>
    <row r="1881" ht="14.25" customHeight="1">
      <c r="A1881" s="4" t="s">
        <v>1898</v>
      </c>
      <c r="B1881" s="4">
        <v>12127.0</v>
      </c>
      <c r="C1881" s="4" t="s">
        <v>886</v>
      </c>
      <c r="D1881" s="4" t="str">
        <f t="shared" si="1"/>
        <v>MA3</v>
      </c>
      <c r="E1881" s="4">
        <f t="shared" si="2"/>
        <v>1010.583333</v>
      </c>
      <c r="F1881" s="4">
        <f t="shared" si="3"/>
        <v>336.8611111</v>
      </c>
      <c r="G1881" s="4">
        <f t="shared" si="4"/>
        <v>1011</v>
      </c>
      <c r="H1881" s="4" t="str">
        <f t="shared" si="5"/>
        <v>Binh thuong</v>
      </c>
    </row>
    <row r="1882" ht="14.25" customHeight="1">
      <c r="A1882" s="4" t="s">
        <v>1899</v>
      </c>
      <c r="B1882" s="4">
        <v>62416.0</v>
      </c>
      <c r="C1882" s="4" t="s">
        <v>886</v>
      </c>
      <c r="D1882" s="4" t="str">
        <f t="shared" si="1"/>
        <v>MA3</v>
      </c>
      <c r="E1882" s="4">
        <f t="shared" si="2"/>
        <v>5201.333333</v>
      </c>
      <c r="F1882" s="4">
        <f t="shared" si="3"/>
        <v>1733.777778</v>
      </c>
      <c r="G1882" s="4">
        <f t="shared" si="4"/>
        <v>5201</v>
      </c>
      <c r="H1882" s="4" t="str">
        <f t="shared" si="5"/>
        <v>Uu tien cao</v>
      </c>
    </row>
    <row r="1883" ht="14.25" customHeight="1">
      <c r="A1883" s="4" t="s">
        <v>1900</v>
      </c>
      <c r="B1883" s="4">
        <v>232146.0</v>
      </c>
      <c r="C1883" s="4" t="s">
        <v>886</v>
      </c>
      <c r="D1883" s="4" t="str">
        <f t="shared" si="1"/>
        <v>MA3</v>
      </c>
      <c r="E1883" s="4">
        <f t="shared" si="2"/>
        <v>19345.5</v>
      </c>
      <c r="F1883" s="4">
        <f t="shared" si="3"/>
        <v>6448.5</v>
      </c>
      <c r="G1883" s="4">
        <f t="shared" si="4"/>
        <v>19346</v>
      </c>
      <c r="H1883" s="4" t="str">
        <f t="shared" si="5"/>
        <v>Uu tien cao</v>
      </c>
    </row>
    <row r="1884" ht="14.25" customHeight="1">
      <c r="A1884" s="4" t="s">
        <v>1901</v>
      </c>
      <c r="B1884" s="4">
        <v>5106.0</v>
      </c>
      <c r="C1884" s="4" t="s">
        <v>886</v>
      </c>
      <c r="D1884" s="4" t="str">
        <f t="shared" si="1"/>
        <v>MA3</v>
      </c>
      <c r="E1884" s="4">
        <f t="shared" si="2"/>
        <v>425.5</v>
      </c>
      <c r="F1884" s="4">
        <f t="shared" si="3"/>
        <v>141.8333333</v>
      </c>
      <c r="G1884" s="4">
        <f t="shared" si="4"/>
        <v>426</v>
      </c>
      <c r="H1884" s="4" t="str">
        <f t="shared" si="5"/>
        <v>Binh thuong</v>
      </c>
    </row>
    <row r="1885" ht="14.25" customHeight="1">
      <c r="A1885" s="4" t="s">
        <v>1902</v>
      </c>
      <c r="B1885" s="4">
        <v>27948.0</v>
      </c>
      <c r="C1885" s="4" t="s">
        <v>886</v>
      </c>
      <c r="D1885" s="4" t="str">
        <f t="shared" si="1"/>
        <v>MA3</v>
      </c>
      <c r="E1885" s="4">
        <f t="shared" si="2"/>
        <v>2329</v>
      </c>
      <c r="F1885" s="4">
        <f t="shared" si="3"/>
        <v>776.3333333</v>
      </c>
      <c r="G1885" s="4">
        <f t="shared" si="4"/>
        <v>2329</v>
      </c>
      <c r="H1885" s="4" t="str">
        <f t="shared" si="5"/>
        <v>Binh thuong</v>
      </c>
    </row>
    <row r="1886" ht="14.25" customHeight="1">
      <c r="A1886" s="4" t="s">
        <v>1903</v>
      </c>
      <c r="B1886" s="4">
        <v>384602.0</v>
      </c>
      <c r="C1886" s="4" t="s">
        <v>886</v>
      </c>
      <c r="D1886" s="4" t="str">
        <f t="shared" si="1"/>
        <v>MA3</v>
      </c>
      <c r="E1886" s="4">
        <f t="shared" si="2"/>
        <v>32050.16667</v>
      </c>
      <c r="F1886" s="4">
        <f t="shared" si="3"/>
        <v>10683.38889</v>
      </c>
      <c r="G1886" s="4">
        <f t="shared" si="4"/>
        <v>32050</v>
      </c>
      <c r="H1886" s="4" t="str">
        <f t="shared" si="5"/>
        <v>Uu tien cao</v>
      </c>
    </row>
    <row r="1887" ht="14.25" customHeight="1">
      <c r="A1887" s="4" t="s">
        <v>1904</v>
      </c>
      <c r="B1887" s="4">
        <v>9572.0</v>
      </c>
      <c r="C1887" s="4" t="s">
        <v>886</v>
      </c>
      <c r="D1887" s="4" t="str">
        <f t="shared" si="1"/>
        <v>MA3</v>
      </c>
      <c r="E1887" s="4">
        <f t="shared" si="2"/>
        <v>797.6666667</v>
      </c>
      <c r="F1887" s="4">
        <f t="shared" si="3"/>
        <v>265.8888889</v>
      </c>
      <c r="G1887" s="4">
        <f t="shared" si="4"/>
        <v>798</v>
      </c>
      <c r="H1887" s="4" t="str">
        <f t="shared" si="5"/>
        <v>Binh thuong</v>
      </c>
    </row>
    <row r="1888" ht="14.25" customHeight="1">
      <c r="A1888" s="4" t="s">
        <v>1905</v>
      </c>
      <c r="B1888" s="4">
        <v>58690.0</v>
      </c>
      <c r="C1888" s="4" t="s">
        <v>886</v>
      </c>
      <c r="D1888" s="4" t="str">
        <f t="shared" si="1"/>
        <v>MA3</v>
      </c>
      <c r="E1888" s="4">
        <f t="shared" si="2"/>
        <v>4890.833333</v>
      </c>
      <c r="F1888" s="4">
        <f t="shared" si="3"/>
        <v>1630.277778</v>
      </c>
      <c r="G1888" s="4">
        <f t="shared" si="4"/>
        <v>4891</v>
      </c>
      <c r="H1888" s="4" t="str">
        <f t="shared" si="5"/>
        <v>Uu tien cao</v>
      </c>
    </row>
    <row r="1889" ht="14.25" customHeight="1">
      <c r="A1889" s="4" t="s">
        <v>1906</v>
      </c>
      <c r="B1889" s="4">
        <v>35829.0</v>
      </c>
      <c r="C1889" s="4" t="s">
        <v>886</v>
      </c>
      <c r="D1889" s="4" t="str">
        <f t="shared" si="1"/>
        <v>MA3</v>
      </c>
      <c r="E1889" s="4">
        <f t="shared" si="2"/>
        <v>2985.75</v>
      </c>
      <c r="F1889" s="4">
        <f t="shared" si="3"/>
        <v>995.25</v>
      </c>
      <c r="G1889" s="4">
        <f t="shared" si="4"/>
        <v>2986</v>
      </c>
      <c r="H1889" s="4" t="str">
        <f t="shared" si="5"/>
        <v>Binh thuong</v>
      </c>
    </row>
    <row r="1890" ht="14.25" customHeight="1">
      <c r="A1890" s="4" t="s">
        <v>1907</v>
      </c>
      <c r="B1890" s="4">
        <v>5091.0</v>
      </c>
      <c r="C1890" s="4" t="s">
        <v>886</v>
      </c>
      <c r="D1890" s="4" t="str">
        <f t="shared" si="1"/>
        <v>MA3</v>
      </c>
      <c r="E1890" s="4">
        <f t="shared" si="2"/>
        <v>424.25</v>
      </c>
      <c r="F1890" s="4">
        <f t="shared" si="3"/>
        <v>141.4166667</v>
      </c>
      <c r="G1890" s="4">
        <f t="shared" si="4"/>
        <v>424</v>
      </c>
      <c r="H1890" s="4" t="str">
        <f t="shared" si="5"/>
        <v>Binh thuong</v>
      </c>
    </row>
    <row r="1891" ht="14.25" customHeight="1">
      <c r="A1891" s="4" t="s">
        <v>1908</v>
      </c>
      <c r="B1891" s="4">
        <v>144180.0</v>
      </c>
      <c r="C1891" s="4" t="s">
        <v>886</v>
      </c>
      <c r="D1891" s="4" t="str">
        <f t="shared" si="1"/>
        <v>MA3</v>
      </c>
      <c r="E1891" s="4">
        <f t="shared" si="2"/>
        <v>12015</v>
      </c>
      <c r="F1891" s="4">
        <f t="shared" si="3"/>
        <v>4005</v>
      </c>
      <c r="G1891" s="4">
        <f t="shared" si="4"/>
        <v>12015</v>
      </c>
      <c r="H1891" s="4" t="str">
        <f t="shared" si="5"/>
        <v>Uu tien cao</v>
      </c>
    </row>
    <row r="1892" ht="14.25" customHeight="1">
      <c r="A1892" s="4" t="s">
        <v>1909</v>
      </c>
      <c r="B1892" s="4">
        <v>18837.0</v>
      </c>
      <c r="C1892" s="4" t="s">
        <v>886</v>
      </c>
      <c r="D1892" s="4" t="str">
        <f t="shared" si="1"/>
        <v>MA3</v>
      </c>
      <c r="E1892" s="4">
        <f t="shared" si="2"/>
        <v>1569.75</v>
      </c>
      <c r="F1892" s="4">
        <f t="shared" si="3"/>
        <v>523.25</v>
      </c>
      <c r="G1892" s="4">
        <f t="shared" si="4"/>
        <v>1570</v>
      </c>
      <c r="H1892" s="4" t="str">
        <f t="shared" si="5"/>
        <v>Binh thuong</v>
      </c>
    </row>
    <row r="1893" ht="14.25" customHeight="1">
      <c r="A1893" s="4" t="s">
        <v>1910</v>
      </c>
      <c r="B1893" s="4">
        <v>141228.0</v>
      </c>
      <c r="C1893" s="4" t="s">
        <v>886</v>
      </c>
      <c r="D1893" s="4" t="str">
        <f t="shared" si="1"/>
        <v>MA3</v>
      </c>
      <c r="E1893" s="4">
        <f t="shared" si="2"/>
        <v>11769</v>
      </c>
      <c r="F1893" s="4">
        <f t="shared" si="3"/>
        <v>3923</v>
      </c>
      <c r="G1893" s="4">
        <f t="shared" si="4"/>
        <v>11769</v>
      </c>
      <c r="H1893" s="4" t="str">
        <f t="shared" si="5"/>
        <v>Uu tien cao</v>
      </c>
    </row>
    <row r="1894" ht="14.25" customHeight="1">
      <c r="A1894" s="4" t="s">
        <v>1911</v>
      </c>
      <c r="B1894" s="4">
        <v>17922.0</v>
      </c>
      <c r="C1894" s="4" t="s">
        <v>886</v>
      </c>
      <c r="D1894" s="4" t="str">
        <f t="shared" si="1"/>
        <v>MA3</v>
      </c>
      <c r="E1894" s="4">
        <f t="shared" si="2"/>
        <v>1493.5</v>
      </c>
      <c r="F1894" s="4">
        <f t="shared" si="3"/>
        <v>497.8333333</v>
      </c>
      <c r="G1894" s="4">
        <f t="shared" si="4"/>
        <v>1494</v>
      </c>
      <c r="H1894" s="4" t="str">
        <f t="shared" si="5"/>
        <v>Binh thuong</v>
      </c>
    </row>
    <row r="1895" ht="14.25" customHeight="1">
      <c r="A1895" s="4" t="s">
        <v>1912</v>
      </c>
      <c r="B1895" s="4">
        <v>2680.0</v>
      </c>
      <c r="C1895" s="4" t="s">
        <v>886</v>
      </c>
      <c r="D1895" s="4" t="str">
        <f t="shared" si="1"/>
        <v>MA3</v>
      </c>
      <c r="E1895" s="4">
        <f t="shared" si="2"/>
        <v>223.3333333</v>
      </c>
      <c r="F1895" s="4">
        <f t="shared" si="3"/>
        <v>74.44444444</v>
      </c>
      <c r="G1895" s="4">
        <f t="shared" si="4"/>
        <v>223</v>
      </c>
      <c r="H1895" s="4" t="str">
        <f t="shared" si="5"/>
        <v>Binh thuong</v>
      </c>
    </row>
    <row r="1896" ht="14.25" customHeight="1">
      <c r="A1896" s="4" t="s">
        <v>1913</v>
      </c>
      <c r="B1896" s="4">
        <v>3488.0</v>
      </c>
      <c r="C1896" s="4" t="s">
        <v>886</v>
      </c>
      <c r="D1896" s="4" t="str">
        <f t="shared" si="1"/>
        <v>MA3</v>
      </c>
      <c r="E1896" s="4">
        <f t="shared" si="2"/>
        <v>290.6666667</v>
      </c>
      <c r="F1896" s="4">
        <f t="shared" si="3"/>
        <v>96.88888889</v>
      </c>
      <c r="G1896" s="4">
        <f t="shared" si="4"/>
        <v>291</v>
      </c>
      <c r="H1896" s="4" t="str">
        <f t="shared" si="5"/>
        <v>Binh thuong</v>
      </c>
    </row>
    <row r="1897" ht="14.25" customHeight="1">
      <c r="A1897" s="4" t="s">
        <v>1914</v>
      </c>
      <c r="B1897" s="4">
        <v>149459.0</v>
      </c>
      <c r="C1897" s="4" t="s">
        <v>886</v>
      </c>
      <c r="D1897" s="4" t="str">
        <f t="shared" si="1"/>
        <v>MA3</v>
      </c>
      <c r="E1897" s="4">
        <f t="shared" si="2"/>
        <v>12454.91667</v>
      </c>
      <c r="F1897" s="4">
        <f t="shared" si="3"/>
        <v>4151.638889</v>
      </c>
      <c r="G1897" s="4">
        <f t="shared" si="4"/>
        <v>12455</v>
      </c>
      <c r="H1897" s="4" t="str">
        <f t="shared" si="5"/>
        <v>Uu tien cao</v>
      </c>
    </row>
    <row r="1898" ht="14.25" customHeight="1">
      <c r="A1898" s="4" t="s">
        <v>1915</v>
      </c>
      <c r="B1898" s="4">
        <v>24818.0</v>
      </c>
      <c r="C1898" s="4" t="s">
        <v>886</v>
      </c>
      <c r="D1898" s="4" t="str">
        <f t="shared" si="1"/>
        <v>MA3</v>
      </c>
      <c r="E1898" s="4">
        <f t="shared" si="2"/>
        <v>2068.166667</v>
      </c>
      <c r="F1898" s="4">
        <f t="shared" si="3"/>
        <v>689.3888889</v>
      </c>
      <c r="G1898" s="4">
        <f t="shared" si="4"/>
        <v>2068</v>
      </c>
      <c r="H1898" s="4" t="str">
        <f t="shared" si="5"/>
        <v>Binh thuong</v>
      </c>
    </row>
    <row r="1899" ht="14.25" customHeight="1">
      <c r="A1899" s="4" t="s">
        <v>1916</v>
      </c>
      <c r="B1899" s="4">
        <v>75862.0</v>
      </c>
      <c r="C1899" s="4" t="s">
        <v>886</v>
      </c>
      <c r="D1899" s="4" t="str">
        <f t="shared" si="1"/>
        <v>MA3</v>
      </c>
      <c r="E1899" s="4">
        <f t="shared" si="2"/>
        <v>6321.833333</v>
      </c>
      <c r="F1899" s="4">
        <f t="shared" si="3"/>
        <v>2107.277778</v>
      </c>
      <c r="G1899" s="4">
        <f t="shared" si="4"/>
        <v>6322</v>
      </c>
      <c r="H1899" s="4" t="str">
        <f t="shared" si="5"/>
        <v>Uu tien cao</v>
      </c>
    </row>
    <row r="1900" ht="14.25" customHeight="1">
      <c r="A1900" s="4" t="s">
        <v>1917</v>
      </c>
      <c r="B1900" s="4">
        <v>12155.0</v>
      </c>
      <c r="C1900" s="4" t="s">
        <v>886</v>
      </c>
      <c r="D1900" s="4" t="str">
        <f t="shared" si="1"/>
        <v>MA3</v>
      </c>
      <c r="E1900" s="4">
        <f t="shared" si="2"/>
        <v>1012.916667</v>
      </c>
      <c r="F1900" s="4">
        <f t="shared" si="3"/>
        <v>337.6388889</v>
      </c>
      <c r="G1900" s="4">
        <f t="shared" si="4"/>
        <v>1013</v>
      </c>
      <c r="H1900" s="4" t="str">
        <f t="shared" si="5"/>
        <v>Binh thuong</v>
      </c>
    </row>
    <row r="1901" ht="14.25" customHeight="1">
      <c r="A1901" s="4" t="s">
        <v>1918</v>
      </c>
      <c r="B1901" s="4">
        <v>4595.0</v>
      </c>
      <c r="C1901" s="4" t="s">
        <v>886</v>
      </c>
      <c r="D1901" s="4" t="str">
        <f t="shared" si="1"/>
        <v>MA3</v>
      </c>
      <c r="E1901" s="4">
        <f t="shared" si="2"/>
        <v>382.9166667</v>
      </c>
      <c r="F1901" s="4">
        <f t="shared" si="3"/>
        <v>127.6388889</v>
      </c>
      <c r="G1901" s="4">
        <f t="shared" si="4"/>
        <v>383</v>
      </c>
      <c r="H1901" s="4" t="str">
        <f t="shared" si="5"/>
        <v>Binh thuong</v>
      </c>
    </row>
    <row r="1902" ht="14.25" customHeight="1">
      <c r="A1902" s="4" t="s">
        <v>1919</v>
      </c>
      <c r="B1902" s="4">
        <v>7666.0</v>
      </c>
      <c r="C1902" s="4" t="s">
        <v>886</v>
      </c>
      <c r="D1902" s="4" t="str">
        <f t="shared" si="1"/>
        <v>MA3</v>
      </c>
      <c r="E1902" s="4">
        <f t="shared" si="2"/>
        <v>638.8333333</v>
      </c>
      <c r="F1902" s="4">
        <f t="shared" si="3"/>
        <v>212.9444444</v>
      </c>
      <c r="G1902" s="4">
        <f t="shared" si="4"/>
        <v>639</v>
      </c>
      <c r="H1902" s="4" t="str">
        <f t="shared" si="5"/>
        <v>Binh thuong</v>
      </c>
    </row>
    <row r="1903" ht="14.25" customHeight="1">
      <c r="A1903" s="4" t="s">
        <v>1920</v>
      </c>
      <c r="B1903" s="4">
        <v>4883.0</v>
      </c>
      <c r="C1903" s="4" t="s">
        <v>886</v>
      </c>
      <c r="D1903" s="4" t="str">
        <f t="shared" si="1"/>
        <v>MA3</v>
      </c>
      <c r="E1903" s="4">
        <f t="shared" si="2"/>
        <v>406.9166667</v>
      </c>
      <c r="F1903" s="4">
        <f t="shared" si="3"/>
        <v>135.6388889</v>
      </c>
      <c r="G1903" s="4">
        <f t="shared" si="4"/>
        <v>407</v>
      </c>
      <c r="H1903" s="4" t="str">
        <f t="shared" si="5"/>
        <v>Binh thuong</v>
      </c>
    </row>
    <row r="1904" ht="14.25" customHeight="1">
      <c r="A1904" s="4" t="s">
        <v>1921</v>
      </c>
      <c r="B1904" s="4">
        <v>2619.0</v>
      </c>
      <c r="C1904" s="4" t="s">
        <v>886</v>
      </c>
      <c r="D1904" s="4" t="str">
        <f t="shared" si="1"/>
        <v>MA3</v>
      </c>
      <c r="E1904" s="4">
        <f t="shared" si="2"/>
        <v>218.25</v>
      </c>
      <c r="F1904" s="4">
        <f t="shared" si="3"/>
        <v>72.75</v>
      </c>
      <c r="G1904" s="4">
        <f t="shared" si="4"/>
        <v>218</v>
      </c>
      <c r="H1904" s="4" t="str">
        <f t="shared" si="5"/>
        <v>Binh thuong</v>
      </c>
    </row>
    <row r="1905" ht="14.25" customHeight="1">
      <c r="A1905" s="4" t="s">
        <v>1922</v>
      </c>
      <c r="B1905" s="4">
        <v>9373.0</v>
      </c>
      <c r="C1905" s="4" t="s">
        <v>886</v>
      </c>
      <c r="D1905" s="4" t="str">
        <f t="shared" si="1"/>
        <v>MA3</v>
      </c>
      <c r="E1905" s="4">
        <f t="shared" si="2"/>
        <v>781.0833333</v>
      </c>
      <c r="F1905" s="4">
        <f t="shared" si="3"/>
        <v>260.3611111</v>
      </c>
      <c r="G1905" s="4">
        <f t="shared" si="4"/>
        <v>781</v>
      </c>
      <c r="H1905" s="4" t="str">
        <f t="shared" si="5"/>
        <v>Binh thuong</v>
      </c>
    </row>
    <row r="1906" ht="14.25" customHeight="1">
      <c r="A1906" s="4" t="s">
        <v>1923</v>
      </c>
      <c r="B1906" s="4">
        <v>13778.0</v>
      </c>
      <c r="C1906" s="4" t="s">
        <v>886</v>
      </c>
      <c r="D1906" s="4" t="str">
        <f t="shared" si="1"/>
        <v>MA3</v>
      </c>
      <c r="E1906" s="4">
        <f t="shared" si="2"/>
        <v>1148.166667</v>
      </c>
      <c r="F1906" s="4">
        <f t="shared" si="3"/>
        <v>382.7222222</v>
      </c>
      <c r="G1906" s="4">
        <f t="shared" si="4"/>
        <v>1148</v>
      </c>
      <c r="H1906" s="4" t="str">
        <f t="shared" si="5"/>
        <v>Binh thuong</v>
      </c>
    </row>
    <row r="1907" ht="14.25" customHeight="1">
      <c r="A1907" s="4" t="s">
        <v>1924</v>
      </c>
      <c r="B1907" s="4">
        <v>9634.0</v>
      </c>
      <c r="C1907" s="4" t="s">
        <v>886</v>
      </c>
      <c r="D1907" s="4" t="str">
        <f t="shared" si="1"/>
        <v>MA3</v>
      </c>
      <c r="E1907" s="4">
        <f t="shared" si="2"/>
        <v>802.8333333</v>
      </c>
      <c r="F1907" s="4">
        <f t="shared" si="3"/>
        <v>267.6111111</v>
      </c>
      <c r="G1907" s="4">
        <f t="shared" si="4"/>
        <v>803</v>
      </c>
      <c r="H1907" s="4" t="str">
        <f t="shared" si="5"/>
        <v>Binh thuong</v>
      </c>
    </row>
    <row r="1908" ht="14.25" customHeight="1">
      <c r="A1908" s="4" t="s">
        <v>1925</v>
      </c>
      <c r="B1908" s="4">
        <v>5685.0</v>
      </c>
      <c r="C1908" s="4" t="s">
        <v>886</v>
      </c>
      <c r="D1908" s="4" t="str">
        <f t="shared" si="1"/>
        <v>MA3</v>
      </c>
      <c r="E1908" s="4">
        <f t="shared" si="2"/>
        <v>473.75</v>
      </c>
      <c r="F1908" s="4">
        <f t="shared" si="3"/>
        <v>157.9166667</v>
      </c>
      <c r="G1908" s="4">
        <f t="shared" si="4"/>
        <v>474</v>
      </c>
      <c r="H1908" s="4" t="str">
        <f t="shared" si="5"/>
        <v>Binh thuong</v>
      </c>
    </row>
    <row r="1909" ht="14.25" customHeight="1">
      <c r="A1909" s="4" t="s">
        <v>1926</v>
      </c>
      <c r="B1909" s="4">
        <v>86521.0</v>
      </c>
      <c r="C1909" s="4" t="s">
        <v>886</v>
      </c>
      <c r="D1909" s="4" t="str">
        <f t="shared" si="1"/>
        <v>MA3</v>
      </c>
      <c r="E1909" s="4">
        <f t="shared" si="2"/>
        <v>7210.083333</v>
      </c>
      <c r="F1909" s="4">
        <f t="shared" si="3"/>
        <v>2403.361111</v>
      </c>
      <c r="G1909" s="4">
        <f t="shared" si="4"/>
        <v>7210</v>
      </c>
      <c r="H1909" s="4" t="str">
        <f t="shared" si="5"/>
        <v>Uu tien cao</v>
      </c>
    </row>
    <row r="1910" ht="14.25" customHeight="1">
      <c r="A1910" s="4" t="s">
        <v>1927</v>
      </c>
      <c r="B1910" s="4">
        <v>132732.0</v>
      </c>
      <c r="C1910" s="4" t="s">
        <v>886</v>
      </c>
      <c r="D1910" s="4" t="str">
        <f t="shared" si="1"/>
        <v>MA3</v>
      </c>
      <c r="E1910" s="4">
        <f t="shared" si="2"/>
        <v>11061</v>
      </c>
      <c r="F1910" s="4">
        <f t="shared" si="3"/>
        <v>3687</v>
      </c>
      <c r="G1910" s="4">
        <f t="shared" si="4"/>
        <v>11061</v>
      </c>
      <c r="H1910" s="4" t="str">
        <f t="shared" si="5"/>
        <v>Uu tien cao</v>
      </c>
    </row>
    <row r="1911" ht="14.25" customHeight="1">
      <c r="A1911" s="4" t="s">
        <v>1928</v>
      </c>
      <c r="B1911" s="4">
        <v>128311.0</v>
      </c>
      <c r="C1911" s="4" t="s">
        <v>886</v>
      </c>
      <c r="D1911" s="4" t="str">
        <f t="shared" si="1"/>
        <v>MA3</v>
      </c>
      <c r="E1911" s="4">
        <f t="shared" si="2"/>
        <v>10692.58333</v>
      </c>
      <c r="F1911" s="4">
        <f t="shared" si="3"/>
        <v>3564.194444</v>
      </c>
      <c r="G1911" s="4">
        <f t="shared" si="4"/>
        <v>10693</v>
      </c>
      <c r="H1911" s="4" t="str">
        <f t="shared" si="5"/>
        <v>Uu tien cao</v>
      </c>
    </row>
    <row r="1912" ht="14.25" customHeight="1">
      <c r="A1912" s="4" t="s">
        <v>1929</v>
      </c>
      <c r="B1912" s="4">
        <v>268143.0</v>
      </c>
      <c r="C1912" s="4" t="s">
        <v>886</v>
      </c>
      <c r="D1912" s="4" t="str">
        <f t="shared" si="1"/>
        <v>MA3</v>
      </c>
      <c r="E1912" s="4">
        <f t="shared" si="2"/>
        <v>22345.25</v>
      </c>
      <c r="F1912" s="4">
        <f t="shared" si="3"/>
        <v>7448.416667</v>
      </c>
      <c r="G1912" s="4">
        <f t="shared" si="4"/>
        <v>22345</v>
      </c>
      <c r="H1912" s="4" t="str">
        <f t="shared" si="5"/>
        <v>Uu tien cao</v>
      </c>
    </row>
    <row r="1913" ht="14.25" customHeight="1">
      <c r="A1913" s="4" t="s">
        <v>1930</v>
      </c>
      <c r="B1913" s="4">
        <v>30218.0</v>
      </c>
      <c r="C1913" s="4" t="s">
        <v>886</v>
      </c>
      <c r="D1913" s="4" t="str">
        <f t="shared" si="1"/>
        <v>MA3</v>
      </c>
      <c r="E1913" s="4">
        <f t="shared" si="2"/>
        <v>2518.166667</v>
      </c>
      <c r="F1913" s="4">
        <f t="shared" si="3"/>
        <v>839.3888889</v>
      </c>
      <c r="G1913" s="4">
        <f t="shared" si="4"/>
        <v>2518</v>
      </c>
      <c r="H1913" s="4" t="str">
        <f t="shared" si="5"/>
        <v>Binh thuong</v>
      </c>
    </row>
    <row r="1914" ht="14.25" customHeight="1">
      <c r="A1914" s="4" t="s">
        <v>1931</v>
      </c>
      <c r="B1914" s="4">
        <v>37908.0</v>
      </c>
      <c r="C1914" s="4" t="s">
        <v>886</v>
      </c>
      <c r="D1914" s="4" t="str">
        <f t="shared" si="1"/>
        <v>MA3</v>
      </c>
      <c r="E1914" s="4">
        <f t="shared" si="2"/>
        <v>3159</v>
      </c>
      <c r="F1914" s="4">
        <f t="shared" si="3"/>
        <v>1053</v>
      </c>
      <c r="G1914" s="4">
        <f t="shared" si="4"/>
        <v>3159</v>
      </c>
      <c r="H1914" s="4" t="str">
        <f t="shared" si="5"/>
        <v>Binh thuong</v>
      </c>
    </row>
    <row r="1915" ht="14.25" customHeight="1">
      <c r="A1915" s="4" t="s">
        <v>1932</v>
      </c>
      <c r="B1915" s="4">
        <v>82393.0</v>
      </c>
      <c r="C1915" s="4" t="s">
        <v>886</v>
      </c>
      <c r="D1915" s="4" t="str">
        <f t="shared" si="1"/>
        <v>MA3</v>
      </c>
      <c r="E1915" s="4">
        <f t="shared" si="2"/>
        <v>6866.083333</v>
      </c>
      <c r="F1915" s="4">
        <f t="shared" si="3"/>
        <v>2288.694444</v>
      </c>
      <c r="G1915" s="4">
        <f t="shared" si="4"/>
        <v>6866</v>
      </c>
      <c r="H1915" s="4" t="str">
        <f t="shared" si="5"/>
        <v>Uu tien cao</v>
      </c>
    </row>
    <row r="1916" ht="14.25" customHeight="1">
      <c r="A1916" s="4" t="s">
        <v>1933</v>
      </c>
      <c r="B1916" s="4">
        <v>20447.0</v>
      </c>
      <c r="C1916" s="4" t="s">
        <v>886</v>
      </c>
      <c r="D1916" s="4" t="str">
        <f t="shared" si="1"/>
        <v>MA3</v>
      </c>
      <c r="E1916" s="4">
        <f t="shared" si="2"/>
        <v>1703.916667</v>
      </c>
      <c r="F1916" s="4">
        <f t="shared" si="3"/>
        <v>567.9722222</v>
      </c>
      <c r="G1916" s="4">
        <f t="shared" si="4"/>
        <v>1704</v>
      </c>
      <c r="H1916" s="4" t="str">
        <f t="shared" si="5"/>
        <v>Binh thuong</v>
      </c>
    </row>
    <row r="1917" ht="14.25" customHeight="1">
      <c r="A1917" s="4" t="s">
        <v>1934</v>
      </c>
      <c r="B1917" s="4">
        <v>111789.0</v>
      </c>
      <c r="C1917" s="4" t="s">
        <v>886</v>
      </c>
      <c r="D1917" s="4" t="str">
        <f t="shared" si="1"/>
        <v>MA3</v>
      </c>
      <c r="E1917" s="4">
        <f t="shared" si="2"/>
        <v>9315.75</v>
      </c>
      <c r="F1917" s="4">
        <f t="shared" si="3"/>
        <v>3105.25</v>
      </c>
      <c r="G1917" s="4">
        <f t="shared" si="4"/>
        <v>9316</v>
      </c>
      <c r="H1917" s="4" t="str">
        <f t="shared" si="5"/>
        <v>Uu tien cao</v>
      </c>
    </row>
    <row r="1918" ht="14.25" customHeight="1">
      <c r="A1918" s="4" t="s">
        <v>1935</v>
      </c>
      <c r="B1918" s="4">
        <v>354098.0</v>
      </c>
      <c r="C1918" s="4" t="s">
        <v>886</v>
      </c>
      <c r="D1918" s="4" t="str">
        <f t="shared" si="1"/>
        <v>MA3</v>
      </c>
      <c r="E1918" s="4">
        <f t="shared" si="2"/>
        <v>29508.16667</v>
      </c>
      <c r="F1918" s="4">
        <f t="shared" si="3"/>
        <v>9836.055556</v>
      </c>
      <c r="G1918" s="4">
        <f t="shared" si="4"/>
        <v>29508</v>
      </c>
      <c r="H1918" s="4" t="str">
        <f t="shared" si="5"/>
        <v>Uu tien cao</v>
      </c>
    </row>
    <row r="1919" ht="14.25" customHeight="1">
      <c r="A1919" s="4" t="s">
        <v>1936</v>
      </c>
      <c r="B1919" s="4">
        <v>61252.0</v>
      </c>
      <c r="C1919" s="4" t="s">
        <v>886</v>
      </c>
      <c r="D1919" s="4" t="str">
        <f t="shared" si="1"/>
        <v>MA3</v>
      </c>
      <c r="E1919" s="4">
        <f t="shared" si="2"/>
        <v>5104.333333</v>
      </c>
      <c r="F1919" s="4">
        <f t="shared" si="3"/>
        <v>1701.444444</v>
      </c>
      <c r="G1919" s="4">
        <f t="shared" si="4"/>
        <v>5104</v>
      </c>
      <c r="H1919" s="4" t="str">
        <f t="shared" si="5"/>
        <v>Uu tien cao</v>
      </c>
    </row>
    <row r="1920" ht="14.25" customHeight="1">
      <c r="A1920" s="4" t="s">
        <v>1937</v>
      </c>
      <c r="B1920" s="4">
        <v>85775.0</v>
      </c>
      <c r="C1920" s="4" t="s">
        <v>886</v>
      </c>
      <c r="D1920" s="4" t="str">
        <f t="shared" si="1"/>
        <v>MA3</v>
      </c>
      <c r="E1920" s="4">
        <f t="shared" si="2"/>
        <v>7147.916667</v>
      </c>
      <c r="F1920" s="4">
        <f t="shared" si="3"/>
        <v>2382.638889</v>
      </c>
      <c r="G1920" s="4">
        <f t="shared" si="4"/>
        <v>7148</v>
      </c>
      <c r="H1920" s="4" t="str">
        <f t="shared" si="5"/>
        <v>Uu tien cao</v>
      </c>
    </row>
    <row r="1921" ht="14.25" customHeight="1">
      <c r="A1921" s="4" t="s">
        <v>1938</v>
      </c>
      <c r="B1921" s="4">
        <v>55417.0</v>
      </c>
      <c r="C1921" s="4" t="s">
        <v>886</v>
      </c>
      <c r="D1921" s="4" t="str">
        <f t="shared" si="1"/>
        <v>MA3</v>
      </c>
      <c r="E1921" s="4">
        <f t="shared" si="2"/>
        <v>4618.083333</v>
      </c>
      <c r="F1921" s="4">
        <f t="shared" si="3"/>
        <v>1539.361111</v>
      </c>
      <c r="G1921" s="4">
        <f t="shared" si="4"/>
        <v>4618</v>
      </c>
      <c r="H1921" s="4" t="str">
        <f t="shared" si="5"/>
        <v>Uu tien cao</v>
      </c>
    </row>
    <row r="1922" ht="14.25" customHeight="1">
      <c r="A1922" s="4" t="s">
        <v>1939</v>
      </c>
      <c r="B1922" s="4">
        <v>14435.0</v>
      </c>
      <c r="C1922" s="4" t="s">
        <v>886</v>
      </c>
      <c r="D1922" s="4" t="str">
        <f t="shared" si="1"/>
        <v>MA3</v>
      </c>
      <c r="E1922" s="4">
        <f t="shared" si="2"/>
        <v>1202.916667</v>
      </c>
      <c r="F1922" s="4">
        <f t="shared" si="3"/>
        <v>400.9722222</v>
      </c>
      <c r="G1922" s="4">
        <f t="shared" si="4"/>
        <v>1203</v>
      </c>
      <c r="H1922" s="4" t="str">
        <f t="shared" si="5"/>
        <v>Binh thuong</v>
      </c>
    </row>
    <row r="1923" ht="14.25" customHeight="1">
      <c r="A1923" s="4" t="s">
        <v>1940</v>
      </c>
      <c r="B1923" s="4">
        <v>125664.0</v>
      </c>
      <c r="C1923" s="4" t="s">
        <v>886</v>
      </c>
      <c r="D1923" s="4" t="str">
        <f t="shared" si="1"/>
        <v>MA3</v>
      </c>
      <c r="E1923" s="4">
        <f t="shared" si="2"/>
        <v>10472</v>
      </c>
      <c r="F1923" s="4">
        <f t="shared" si="3"/>
        <v>3490.666667</v>
      </c>
      <c r="G1923" s="4">
        <f t="shared" si="4"/>
        <v>10472</v>
      </c>
      <c r="H1923" s="4" t="str">
        <f t="shared" si="5"/>
        <v>Uu tien cao</v>
      </c>
    </row>
    <row r="1924" ht="14.25" customHeight="1">
      <c r="A1924" s="4" t="s">
        <v>1941</v>
      </c>
      <c r="B1924" s="4">
        <v>46193.0</v>
      </c>
      <c r="C1924" s="4" t="s">
        <v>886</v>
      </c>
      <c r="D1924" s="4" t="str">
        <f t="shared" si="1"/>
        <v>MA3</v>
      </c>
      <c r="E1924" s="4">
        <f t="shared" si="2"/>
        <v>3849.416667</v>
      </c>
      <c r="F1924" s="4">
        <f t="shared" si="3"/>
        <v>1283.138889</v>
      </c>
      <c r="G1924" s="4">
        <f t="shared" si="4"/>
        <v>3849</v>
      </c>
      <c r="H1924" s="4" t="str">
        <f t="shared" si="5"/>
        <v>Uu tien cao</v>
      </c>
    </row>
    <row r="1925" ht="14.25" customHeight="1">
      <c r="A1925" s="4" t="s">
        <v>1942</v>
      </c>
      <c r="B1925" s="4">
        <v>40852.0</v>
      </c>
      <c r="C1925" s="4" t="s">
        <v>886</v>
      </c>
      <c r="D1925" s="4" t="str">
        <f t="shared" si="1"/>
        <v>MA3</v>
      </c>
      <c r="E1925" s="4">
        <f t="shared" si="2"/>
        <v>3404.333333</v>
      </c>
      <c r="F1925" s="4">
        <f t="shared" si="3"/>
        <v>1134.777778</v>
      </c>
      <c r="G1925" s="4">
        <f t="shared" si="4"/>
        <v>3404</v>
      </c>
      <c r="H1925" s="4" t="str">
        <f t="shared" si="5"/>
        <v>Uu tien cao</v>
      </c>
    </row>
    <row r="1926" ht="14.25" customHeight="1">
      <c r="A1926" s="4" t="s">
        <v>1943</v>
      </c>
      <c r="B1926" s="4">
        <v>130861.0</v>
      </c>
      <c r="C1926" s="4" t="s">
        <v>886</v>
      </c>
      <c r="D1926" s="4" t="str">
        <f t="shared" si="1"/>
        <v>MA3</v>
      </c>
      <c r="E1926" s="4">
        <f t="shared" si="2"/>
        <v>10905.08333</v>
      </c>
      <c r="F1926" s="4">
        <f t="shared" si="3"/>
        <v>3635.027778</v>
      </c>
      <c r="G1926" s="4">
        <f t="shared" si="4"/>
        <v>10905</v>
      </c>
      <c r="H1926" s="4" t="str">
        <f t="shared" si="5"/>
        <v>Uu tien cao</v>
      </c>
    </row>
    <row r="1927" ht="14.25" customHeight="1">
      <c r="A1927" s="4" t="s">
        <v>1944</v>
      </c>
      <c r="B1927" s="4">
        <v>91672.0</v>
      </c>
      <c r="C1927" s="4" t="s">
        <v>886</v>
      </c>
      <c r="D1927" s="4" t="str">
        <f t="shared" si="1"/>
        <v>MA3</v>
      </c>
      <c r="E1927" s="4">
        <f t="shared" si="2"/>
        <v>7639.333333</v>
      </c>
      <c r="F1927" s="4">
        <f t="shared" si="3"/>
        <v>2546.444444</v>
      </c>
      <c r="G1927" s="4">
        <f t="shared" si="4"/>
        <v>7639</v>
      </c>
      <c r="H1927" s="4" t="str">
        <f t="shared" si="5"/>
        <v>Uu tien cao</v>
      </c>
    </row>
    <row r="1928" ht="14.25" customHeight="1">
      <c r="A1928" s="4" t="s">
        <v>1945</v>
      </c>
      <c r="B1928" s="4">
        <v>182943.0</v>
      </c>
      <c r="C1928" s="4" t="s">
        <v>886</v>
      </c>
      <c r="D1928" s="4" t="str">
        <f t="shared" si="1"/>
        <v>MA3</v>
      </c>
      <c r="E1928" s="4">
        <f t="shared" si="2"/>
        <v>15245.25</v>
      </c>
      <c r="F1928" s="4">
        <f t="shared" si="3"/>
        <v>5081.75</v>
      </c>
      <c r="G1928" s="4">
        <f t="shared" si="4"/>
        <v>15245</v>
      </c>
      <c r="H1928" s="4" t="str">
        <f t="shared" si="5"/>
        <v>Uu tien cao</v>
      </c>
    </row>
    <row r="1929" ht="14.25" customHeight="1">
      <c r="A1929" s="4" t="s">
        <v>1946</v>
      </c>
      <c r="B1929" s="4">
        <v>65839.0</v>
      </c>
      <c r="C1929" s="4" t="s">
        <v>886</v>
      </c>
      <c r="D1929" s="4" t="str">
        <f t="shared" si="1"/>
        <v>MA3</v>
      </c>
      <c r="E1929" s="4">
        <f t="shared" si="2"/>
        <v>5486.583333</v>
      </c>
      <c r="F1929" s="4">
        <f t="shared" si="3"/>
        <v>1828.861111</v>
      </c>
      <c r="G1929" s="4">
        <f t="shared" si="4"/>
        <v>5487</v>
      </c>
      <c r="H1929" s="4" t="str">
        <f t="shared" si="5"/>
        <v>Uu tien cao</v>
      </c>
    </row>
    <row r="1930" ht="14.25" customHeight="1">
      <c r="A1930" s="4" t="s">
        <v>1947</v>
      </c>
      <c r="B1930" s="4">
        <v>42192.0</v>
      </c>
      <c r="C1930" s="4" t="s">
        <v>886</v>
      </c>
      <c r="D1930" s="4" t="str">
        <f t="shared" si="1"/>
        <v>MA3</v>
      </c>
      <c r="E1930" s="4">
        <f t="shared" si="2"/>
        <v>3516</v>
      </c>
      <c r="F1930" s="4">
        <f t="shared" si="3"/>
        <v>1172</v>
      </c>
      <c r="G1930" s="4">
        <f t="shared" si="4"/>
        <v>3516</v>
      </c>
      <c r="H1930" s="4" t="str">
        <f t="shared" si="5"/>
        <v>Uu tien cao</v>
      </c>
    </row>
    <row r="1931" ht="14.25" customHeight="1">
      <c r="A1931" s="4" t="s">
        <v>1948</v>
      </c>
      <c r="B1931" s="4">
        <v>40717.0</v>
      </c>
      <c r="C1931" s="4" t="s">
        <v>886</v>
      </c>
      <c r="D1931" s="4" t="str">
        <f t="shared" si="1"/>
        <v>MA3</v>
      </c>
      <c r="E1931" s="4">
        <f t="shared" si="2"/>
        <v>3393.083333</v>
      </c>
      <c r="F1931" s="4">
        <f t="shared" si="3"/>
        <v>1131.027778</v>
      </c>
      <c r="G1931" s="4">
        <f t="shared" si="4"/>
        <v>3393</v>
      </c>
      <c r="H1931" s="4" t="str">
        <f t="shared" si="5"/>
        <v>Uu tien cao</v>
      </c>
    </row>
    <row r="1932" ht="14.25" customHeight="1">
      <c r="A1932" s="4" t="s">
        <v>1949</v>
      </c>
      <c r="B1932" s="4">
        <v>28800.0</v>
      </c>
      <c r="C1932" s="4" t="s">
        <v>886</v>
      </c>
      <c r="D1932" s="4" t="str">
        <f t="shared" si="1"/>
        <v>MA3</v>
      </c>
      <c r="E1932" s="4">
        <f t="shared" si="2"/>
        <v>2400</v>
      </c>
      <c r="F1932" s="4">
        <f t="shared" si="3"/>
        <v>800</v>
      </c>
      <c r="G1932" s="4">
        <f t="shared" si="4"/>
        <v>2400</v>
      </c>
      <c r="H1932" s="4" t="str">
        <f t="shared" si="5"/>
        <v>Binh thuong</v>
      </c>
    </row>
    <row r="1933" ht="14.25" customHeight="1">
      <c r="A1933" s="4" t="s">
        <v>1950</v>
      </c>
      <c r="B1933" s="4">
        <v>94497.0</v>
      </c>
      <c r="C1933" s="4" t="s">
        <v>886</v>
      </c>
      <c r="D1933" s="4" t="str">
        <f t="shared" si="1"/>
        <v>MA3</v>
      </c>
      <c r="E1933" s="4">
        <f t="shared" si="2"/>
        <v>7874.75</v>
      </c>
      <c r="F1933" s="4">
        <f t="shared" si="3"/>
        <v>2624.916667</v>
      </c>
      <c r="G1933" s="4">
        <f t="shared" si="4"/>
        <v>7875</v>
      </c>
      <c r="H1933" s="4" t="str">
        <f t="shared" si="5"/>
        <v>Uu tien cao</v>
      </c>
    </row>
    <row r="1934" ht="14.25" customHeight="1">
      <c r="A1934" s="4" t="s">
        <v>1951</v>
      </c>
      <c r="B1934" s="4">
        <v>38599.0</v>
      </c>
      <c r="C1934" s="4" t="s">
        <v>886</v>
      </c>
      <c r="D1934" s="4" t="str">
        <f t="shared" si="1"/>
        <v>MA3</v>
      </c>
      <c r="E1934" s="4">
        <f t="shared" si="2"/>
        <v>3216.583333</v>
      </c>
      <c r="F1934" s="4">
        <f t="shared" si="3"/>
        <v>1072.194444</v>
      </c>
      <c r="G1934" s="4">
        <f t="shared" si="4"/>
        <v>3217</v>
      </c>
      <c r="H1934" s="4" t="str">
        <f t="shared" si="5"/>
        <v>Binh thuong</v>
      </c>
    </row>
    <row r="1935" ht="14.25" customHeight="1">
      <c r="A1935" s="4" t="s">
        <v>1952</v>
      </c>
      <c r="B1935" s="4">
        <v>56715.0</v>
      </c>
      <c r="C1935" s="4" t="s">
        <v>886</v>
      </c>
      <c r="D1935" s="4" t="str">
        <f t="shared" si="1"/>
        <v>MA3</v>
      </c>
      <c r="E1935" s="4">
        <f t="shared" si="2"/>
        <v>4726.25</v>
      </c>
      <c r="F1935" s="4">
        <f t="shared" si="3"/>
        <v>1575.416667</v>
      </c>
      <c r="G1935" s="4">
        <f t="shared" si="4"/>
        <v>4726</v>
      </c>
      <c r="H1935" s="4" t="str">
        <f t="shared" si="5"/>
        <v>Uu tien cao</v>
      </c>
    </row>
    <row r="1936" ht="14.25" customHeight="1">
      <c r="A1936" s="4" t="s">
        <v>1953</v>
      </c>
      <c r="B1936" s="4">
        <v>64493.0</v>
      </c>
      <c r="C1936" s="4" t="s">
        <v>886</v>
      </c>
      <c r="D1936" s="4" t="str">
        <f t="shared" si="1"/>
        <v>MA3</v>
      </c>
      <c r="E1936" s="4">
        <f t="shared" si="2"/>
        <v>5374.416667</v>
      </c>
      <c r="F1936" s="4">
        <f t="shared" si="3"/>
        <v>1791.472222</v>
      </c>
      <c r="G1936" s="4">
        <f t="shared" si="4"/>
        <v>5374</v>
      </c>
      <c r="H1936" s="4" t="str">
        <f t="shared" si="5"/>
        <v>Uu tien cao</v>
      </c>
    </row>
    <row r="1937" ht="14.25" customHeight="1">
      <c r="A1937" s="4" t="s">
        <v>1954</v>
      </c>
      <c r="B1937" s="4">
        <v>44641.0</v>
      </c>
      <c r="C1937" s="4" t="s">
        <v>886</v>
      </c>
      <c r="D1937" s="4" t="str">
        <f t="shared" si="1"/>
        <v>MA3</v>
      </c>
      <c r="E1937" s="4">
        <f t="shared" si="2"/>
        <v>3720.083333</v>
      </c>
      <c r="F1937" s="4">
        <f t="shared" si="3"/>
        <v>1240.027778</v>
      </c>
      <c r="G1937" s="4">
        <f t="shared" si="4"/>
        <v>3720</v>
      </c>
      <c r="H1937" s="4" t="str">
        <f t="shared" si="5"/>
        <v>Uu tien cao</v>
      </c>
    </row>
    <row r="1938" ht="14.25" customHeight="1">
      <c r="A1938" s="4" t="s">
        <v>1955</v>
      </c>
      <c r="B1938" s="4">
        <v>28920.0</v>
      </c>
      <c r="C1938" s="4" t="s">
        <v>886</v>
      </c>
      <c r="D1938" s="4" t="str">
        <f t="shared" si="1"/>
        <v>MA3</v>
      </c>
      <c r="E1938" s="4">
        <f t="shared" si="2"/>
        <v>2410</v>
      </c>
      <c r="F1938" s="4">
        <f t="shared" si="3"/>
        <v>803.3333333</v>
      </c>
      <c r="G1938" s="4">
        <f t="shared" si="4"/>
        <v>2410</v>
      </c>
      <c r="H1938" s="4" t="str">
        <f t="shared" si="5"/>
        <v>Binh thuong</v>
      </c>
    </row>
    <row r="1939" ht="14.25" customHeight="1">
      <c r="A1939" s="4" t="s">
        <v>1956</v>
      </c>
      <c r="B1939" s="4">
        <v>36548.0</v>
      </c>
      <c r="C1939" s="4" t="s">
        <v>886</v>
      </c>
      <c r="D1939" s="4" t="str">
        <f t="shared" si="1"/>
        <v>MA3</v>
      </c>
      <c r="E1939" s="4">
        <f t="shared" si="2"/>
        <v>3045.666667</v>
      </c>
      <c r="F1939" s="4">
        <f t="shared" si="3"/>
        <v>1015.222222</v>
      </c>
      <c r="G1939" s="4">
        <f t="shared" si="4"/>
        <v>3046</v>
      </c>
      <c r="H1939" s="4" t="str">
        <f t="shared" si="5"/>
        <v>Binh thuong</v>
      </c>
    </row>
    <row r="1940" ht="14.25" customHeight="1">
      <c r="A1940" s="4" t="s">
        <v>1957</v>
      </c>
      <c r="B1940" s="4">
        <v>136755.0</v>
      </c>
      <c r="C1940" s="4" t="s">
        <v>886</v>
      </c>
      <c r="D1940" s="4" t="str">
        <f t="shared" si="1"/>
        <v>MA3</v>
      </c>
      <c r="E1940" s="4">
        <f t="shared" si="2"/>
        <v>11396.25</v>
      </c>
      <c r="F1940" s="4">
        <f t="shared" si="3"/>
        <v>3798.75</v>
      </c>
      <c r="G1940" s="4">
        <f t="shared" si="4"/>
        <v>11396</v>
      </c>
      <c r="H1940" s="4" t="str">
        <f t="shared" si="5"/>
        <v>Uu tien cao</v>
      </c>
    </row>
    <row r="1941" ht="14.25" customHeight="1">
      <c r="A1941" s="4" t="s">
        <v>1958</v>
      </c>
      <c r="B1941" s="4">
        <v>80837.0</v>
      </c>
      <c r="C1941" s="4" t="s">
        <v>886</v>
      </c>
      <c r="D1941" s="4" t="str">
        <f t="shared" si="1"/>
        <v>MA3</v>
      </c>
      <c r="E1941" s="4">
        <f t="shared" si="2"/>
        <v>6736.416667</v>
      </c>
      <c r="F1941" s="4">
        <f t="shared" si="3"/>
        <v>2245.472222</v>
      </c>
      <c r="G1941" s="4">
        <f t="shared" si="4"/>
        <v>6736</v>
      </c>
      <c r="H1941" s="4" t="str">
        <f t="shared" si="5"/>
        <v>Uu tien cao</v>
      </c>
    </row>
    <row r="1942" ht="14.25" customHeight="1">
      <c r="A1942" s="4" t="s">
        <v>1959</v>
      </c>
      <c r="B1942" s="4">
        <v>73873.0</v>
      </c>
      <c r="C1942" s="4" t="s">
        <v>886</v>
      </c>
      <c r="D1942" s="4" t="str">
        <f t="shared" si="1"/>
        <v>MA3</v>
      </c>
      <c r="E1942" s="4">
        <f t="shared" si="2"/>
        <v>6156.083333</v>
      </c>
      <c r="F1942" s="4">
        <f t="shared" si="3"/>
        <v>2052.027778</v>
      </c>
      <c r="G1942" s="4">
        <f t="shared" si="4"/>
        <v>6156</v>
      </c>
      <c r="H1942" s="4" t="str">
        <f t="shared" si="5"/>
        <v>Uu tien cao</v>
      </c>
    </row>
    <row r="1943" ht="14.25" customHeight="1">
      <c r="A1943" s="4" t="s">
        <v>1960</v>
      </c>
      <c r="B1943" s="4">
        <v>195678.0</v>
      </c>
      <c r="C1943" s="4" t="s">
        <v>886</v>
      </c>
      <c r="D1943" s="4" t="str">
        <f t="shared" si="1"/>
        <v>MA3</v>
      </c>
      <c r="E1943" s="4">
        <f t="shared" si="2"/>
        <v>16306.5</v>
      </c>
      <c r="F1943" s="4">
        <f t="shared" si="3"/>
        <v>5435.5</v>
      </c>
      <c r="G1943" s="4">
        <f t="shared" si="4"/>
        <v>16307</v>
      </c>
      <c r="H1943" s="4" t="str">
        <f t="shared" si="5"/>
        <v>Uu tien cao</v>
      </c>
    </row>
    <row r="1944" ht="14.25" customHeight="1">
      <c r="A1944" s="4" t="s">
        <v>1961</v>
      </c>
      <c r="B1944" s="4">
        <v>148779.0</v>
      </c>
      <c r="C1944" s="4" t="s">
        <v>886</v>
      </c>
      <c r="D1944" s="4" t="str">
        <f t="shared" si="1"/>
        <v>MA3</v>
      </c>
      <c r="E1944" s="4">
        <f t="shared" si="2"/>
        <v>12398.25</v>
      </c>
      <c r="F1944" s="4">
        <f t="shared" si="3"/>
        <v>4132.75</v>
      </c>
      <c r="G1944" s="4">
        <f t="shared" si="4"/>
        <v>12398</v>
      </c>
      <c r="H1944" s="4" t="str">
        <f t="shared" si="5"/>
        <v>Uu tien cao</v>
      </c>
    </row>
    <row r="1945" ht="14.25" customHeight="1">
      <c r="A1945" s="4" t="s">
        <v>1962</v>
      </c>
      <c r="B1945" s="4">
        <v>11089.0</v>
      </c>
      <c r="C1945" s="4" t="s">
        <v>886</v>
      </c>
      <c r="D1945" s="4" t="str">
        <f t="shared" si="1"/>
        <v>MA3</v>
      </c>
      <c r="E1945" s="4">
        <f t="shared" si="2"/>
        <v>924.0833333</v>
      </c>
      <c r="F1945" s="4">
        <f t="shared" si="3"/>
        <v>308.0277778</v>
      </c>
      <c r="G1945" s="4">
        <f t="shared" si="4"/>
        <v>924</v>
      </c>
      <c r="H1945" s="4" t="str">
        <f t="shared" si="5"/>
        <v>Binh thuong</v>
      </c>
    </row>
    <row r="1946" ht="14.25" customHeight="1">
      <c r="A1946" s="4" t="s">
        <v>1963</v>
      </c>
      <c r="B1946" s="4">
        <v>12847.0</v>
      </c>
      <c r="C1946" s="4" t="s">
        <v>886</v>
      </c>
      <c r="D1946" s="4" t="str">
        <f t="shared" si="1"/>
        <v>MA3</v>
      </c>
      <c r="E1946" s="4">
        <f t="shared" si="2"/>
        <v>1070.583333</v>
      </c>
      <c r="F1946" s="4">
        <f t="shared" si="3"/>
        <v>356.8611111</v>
      </c>
      <c r="G1946" s="4">
        <f t="shared" si="4"/>
        <v>1071</v>
      </c>
      <c r="H1946" s="4" t="str">
        <f t="shared" si="5"/>
        <v>Binh thuong</v>
      </c>
    </row>
    <row r="1947" ht="14.25" customHeight="1">
      <c r="A1947" s="4" t="s">
        <v>1964</v>
      </c>
      <c r="B1947" s="4">
        <v>9159.0</v>
      </c>
      <c r="C1947" s="4" t="s">
        <v>886</v>
      </c>
      <c r="D1947" s="4" t="str">
        <f t="shared" si="1"/>
        <v>MA3</v>
      </c>
      <c r="E1947" s="4">
        <f t="shared" si="2"/>
        <v>763.25</v>
      </c>
      <c r="F1947" s="4">
        <f t="shared" si="3"/>
        <v>254.4166667</v>
      </c>
      <c r="G1947" s="4">
        <f t="shared" si="4"/>
        <v>763</v>
      </c>
      <c r="H1947" s="4" t="str">
        <f t="shared" si="5"/>
        <v>Binh thuong</v>
      </c>
    </row>
    <row r="1948" ht="14.25" customHeight="1">
      <c r="A1948" s="4" t="s">
        <v>1965</v>
      </c>
      <c r="B1948" s="4">
        <v>16524.0</v>
      </c>
      <c r="C1948" s="4" t="s">
        <v>886</v>
      </c>
      <c r="D1948" s="4" t="str">
        <f t="shared" si="1"/>
        <v>MA3</v>
      </c>
      <c r="E1948" s="4">
        <f t="shared" si="2"/>
        <v>1377</v>
      </c>
      <c r="F1948" s="4">
        <f t="shared" si="3"/>
        <v>459</v>
      </c>
      <c r="G1948" s="4">
        <f t="shared" si="4"/>
        <v>1377</v>
      </c>
      <c r="H1948" s="4" t="str">
        <f t="shared" si="5"/>
        <v>Binh thuong</v>
      </c>
    </row>
    <row r="1949" ht="14.25" customHeight="1">
      <c r="A1949" s="4" t="s">
        <v>1966</v>
      </c>
      <c r="B1949" s="4">
        <v>30455.0</v>
      </c>
      <c r="C1949" s="4" t="s">
        <v>886</v>
      </c>
      <c r="D1949" s="4" t="str">
        <f t="shared" si="1"/>
        <v>MA3</v>
      </c>
      <c r="E1949" s="4">
        <f t="shared" si="2"/>
        <v>2537.916667</v>
      </c>
      <c r="F1949" s="4">
        <f t="shared" si="3"/>
        <v>845.9722222</v>
      </c>
      <c r="G1949" s="4">
        <f t="shared" si="4"/>
        <v>2538</v>
      </c>
      <c r="H1949" s="4" t="str">
        <f t="shared" si="5"/>
        <v>Binh thuong</v>
      </c>
    </row>
    <row r="1950" ht="14.25" customHeight="1">
      <c r="A1950" s="4" t="s">
        <v>1967</v>
      </c>
      <c r="B1950" s="4">
        <v>21475.0</v>
      </c>
      <c r="C1950" s="4" t="s">
        <v>886</v>
      </c>
      <c r="D1950" s="4" t="str">
        <f t="shared" si="1"/>
        <v>MA3</v>
      </c>
      <c r="E1950" s="4">
        <f t="shared" si="2"/>
        <v>1789.583333</v>
      </c>
      <c r="F1950" s="4">
        <f t="shared" si="3"/>
        <v>596.5277778</v>
      </c>
      <c r="G1950" s="4">
        <f t="shared" si="4"/>
        <v>1790</v>
      </c>
      <c r="H1950" s="4" t="str">
        <f t="shared" si="5"/>
        <v>Binh thuong</v>
      </c>
    </row>
    <row r="1951" ht="14.25" customHeight="1">
      <c r="A1951" s="4" t="s">
        <v>1968</v>
      </c>
      <c r="B1951" s="4">
        <v>23872.0</v>
      </c>
      <c r="C1951" s="4" t="s">
        <v>886</v>
      </c>
      <c r="D1951" s="4" t="str">
        <f t="shared" si="1"/>
        <v>MA3</v>
      </c>
      <c r="E1951" s="4">
        <f t="shared" si="2"/>
        <v>1989.333333</v>
      </c>
      <c r="F1951" s="4">
        <f t="shared" si="3"/>
        <v>663.1111111</v>
      </c>
      <c r="G1951" s="4">
        <f t="shared" si="4"/>
        <v>1989</v>
      </c>
      <c r="H1951" s="4" t="str">
        <f t="shared" si="5"/>
        <v>Binh thuong</v>
      </c>
    </row>
    <row r="1952" ht="14.25" customHeight="1">
      <c r="A1952" s="4" t="s">
        <v>1969</v>
      </c>
      <c r="B1952" s="4">
        <v>14554.0</v>
      </c>
      <c r="C1952" s="4" t="s">
        <v>886</v>
      </c>
      <c r="D1952" s="4" t="str">
        <f t="shared" si="1"/>
        <v>MA3</v>
      </c>
      <c r="E1952" s="4">
        <f t="shared" si="2"/>
        <v>1212.833333</v>
      </c>
      <c r="F1952" s="4">
        <f t="shared" si="3"/>
        <v>404.2777778</v>
      </c>
      <c r="G1952" s="4">
        <f t="shared" si="4"/>
        <v>1213</v>
      </c>
      <c r="H1952" s="4" t="str">
        <f t="shared" si="5"/>
        <v>Binh thuong</v>
      </c>
    </row>
    <row r="1953" ht="14.25" customHeight="1">
      <c r="A1953" s="4" t="s">
        <v>1970</v>
      </c>
      <c r="B1953" s="4">
        <v>23940.0</v>
      </c>
      <c r="C1953" s="4" t="s">
        <v>886</v>
      </c>
      <c r="D1953" s="4" t="str">
        <f t="shared" si="1"/>
        <v>MA3</v>
      </c>
      <c r="E1953" s="4">
        <f t="shared" si="2"/>
        <v>1995</v>
      </c>
      <c r="F1953" s="4">
        <f t="shared" si="3"/>
        <v>665</v>
      </c>
      <c r="G1953" s="4">
        <f t="shared" si="4"/>
        <v>1995</v>
      </c>
      <c r="H1953" s="4" t="str">
        <f t="shared" si="5"/>
        <v>Binh thuong</v>
      </c>
    </row>
    <row r="1954" ht="14.25" customHeight="1">
      <c r="A1954" s="4" t="s">
        <v>1971</v>
      </c>
      <c r="B1954" s="4">
        <v>8772.0</v>
      </c>
      <c r="C1954" s="4" t="s">
        <v>886</v>
      </c>
      <c r="D1954" s="4" t="str">
        <f t="shared" si="1"/>
        <v>MA3</v>
      </c>
      <c r="E1954" s="4">
        <f t="shared" si="2"/>
        <v>731</v>
      </c>
      <c r="F1954" s="4">
        <f t="shared" si="3"/>
        <v>243.6666667</v>
      </c>
      <c r="G1954" s="4">
        <f t="shared" si="4"/>
        <v>731</v>
      </c>
      <c r="H1954" s="4" t="str">
        <f t="shared" si="5"/>
        <v>Binh thuong</v>
      </c>
    </row>
    <row r="1955" ht="14.25" customHeight="1">
      <c r="A1955" s="4" t="s">
        <v>1972</v>
      </c>
      <c r="B1955" s="4">
        <v>38479.0</v>
      </c>
      <c r="C1955" s="4" t="s">
        <v>886</v>
      </c>
      <c r="D1955" s="4" t="str">
        <f t="shared" si="1"/>
        <v>MA3</v>
      </c>
      <c r="E1955" s="4">
        <f t="shared" si="2"/>
        <v>3206.583333</v>
      </c>
      <c r="F1955" s="4">
        <f t="shared" si="3"/>
        <v>1068.861111</v>
      </c>
      <c r="G1955" s="4">
        <f t="shared" si="4"/>
        <v>3207</v>
      </c>
      <c r="H1955" s="4" t="str">
        <f t="shared" si="5"/>
        <v>Binh thuong</v>
      </c>
    </row>
    <row r="1956" ht="14.25" customHeight="1">
      <c r="A1956" s="4" t="s">
        <v>1973</v>
      </c>
      <c r="B1956" s="4">
        <v>67490.0</v>
      </c>
      <c r="C1956" s="4" t="s">
        <v>886</v>
      </c>
      <c r="D1956" s="4" t="str">
        <f t="shared" si="1"/>
        <v>MA3</v>
      </c>
      <c r="E1956" s="4">
        <f t="shared" si="2"/>
        <v>5624.166667</v>
      </c>
      <c r="F1956" s="4">
        <f t="shared" si="3"/>
        <v>1874.722222</v>
      </c>
      <c r="G1956" s="4">
        <f t="shared" si="4"/>
        <v>5624</v>
      </c>
      <c r="H1956" s="4" t="str">
        <f t="shared" si="5"/>
        <v>Uu tien cao</v>
      </c>
    </row>
    <row r="1957" ht="14.25" customHeight="1">
      <c r="A1957" s="4" t="s">
        <v>1974</v>
      </c>
      <c r="B1957" s="4">
        <v>49434.0</v>
      </c>
      <c r="C1957" s="4" t="s">
        <v>886</v>
      </c>
      <c r="D1957" s="4" t="str">
        <f t="shared" si="1"/>
        <v>MA3</v>
      </c>
      <c r="E1957" s="4">
        <f t="shared" si="2"/>
        <v>4119.5</v>
      </c>
      <c r="F1957" s="4">
        <f t="shared" si="3"/>
        <v>1373.166667</v>
      </c>
      <c r="G1957" s="4">
        <f t="shared" si="4"/>
        <v>4120</v>
      </c>
      <c r="H1957" s="4" t="str">
        <f t="shared" si="5"/>
        <v>Uu tien cao</v>
      </c>
    </row>
    <row r="1958" ht="14.25" customHeight="1">
      <c r="A1958" s="4" t="s">
        <v>1975</v>
      </c>
      <c r="B1958" s="4">
        <v>76106.0</v>
      </c>
      <c r="C1958" s="4" t="s">
        <v>886</v>
      </c>
      <c r="D1958" s="4" t="str">
        <f t="shared" si="1"/>
        <v>MA3</v>
      </c>
      <c r="E1958" s="4">
        <f t="shared" si="2"/>
        <v>6342.166667</v>
      </c>
      <c r="F1958" s="4">
        <f t="shared" si="3"/>
        <v>2114.055556</v>
      </c>
      <c r="G1958" s="4">
        <f t="shared" si="4"/>
        <v>6342</v>
      </c>
      <c r="H1958" s="4" t="str">
        <f t="shared" si="5"/>
        <v>Uu tien cao</v>
      </c>
    </row>
    <row r="1959" ht="14.25" customHeight="1">
      <c r="A1959" s="4" t="s">
        <v>1976</v>
      </c>
      <c r="B1959" s="4">
        <v>127380.0</v>
      </c>
      <c r="C1959" s="4" t="s">
        <v>886</v>
      </c>
      <c r="D1959" s="4" t="str">
        <f t="shared" si="1"/>
        <v>MA3</v>
      </c>
      <c r="E1959" s="4">
        <f t="shared" si="2"/>
        <v>10615</v>
      </c>
      <c r="F1959" s="4">
        <f t="shared" si="3"/>
        <v>3538.333333</v>
      </c>
      <c r="G1959" s="4">
        <f t="shared" si="4"/>
        <v>10615</v>
      </c>
      <c r="H1959" s="4" t="str">
        <f t="shared" si="5"/>
        <v>Uu tien cao</v>
      </c>
    </row>
    <row r="1960" ht="14.25" customHeight="1">
      <c r="A1960" s="4" t="s">
        <v>1977</v>
      </c>
      <c r="B1960" s="4">
        <v>81405.0</v>
      </c>
      <c r="C1960" s="4" t="s">
        <v>886</v>
      </c>
      <c r="D1960" s="4" t="str">
        <f t="shared" si="1"/>
        <v>MA3</v>
      </c>
      <c r="E1960" s="4">
        <f t="shared" si="2"/>
        <v>6783.75</v>
      </c>
      <c r="F1960" s="4">
        <f t="shared" si="3"/>
        <v>2261.25</v>
      </c>
      <c r="G1960" s="4">
        <f t="shared" si="4"/>
        <v>6784</v>
      </c>
      <c r="H1960" s="4" t="str">
        <f t="shared" si="5"/>
        <v>Uu tien cao</v>
      </c>
    </row>
    <row r="1961" ht="14.25" customHeight="1">
      <c r="A1961" s="4" t="s">
        <v>1978</v>
      </c>
      <c r="B1961" s="4">
        <v>2711.0</v>
      </c>
      <c r="C1961" s="4" t="s">
        <v>886</v>
      </c>
      <c r="D1961" s="4" t="str">
        <f t="shared" si="1"/>
        <v>MA3</v>
      </c>
      <c r="E1961" s="4">
        <f t="shared" si="2"/>
        <v>225.9166667</v>
      </c>
      <c r="F1961" s="4">
        <f t="shared" si="3"/>
        <v>75.30555556</v>
      </c>
      <c r="G1961" s="4">
        <f t="shared" si="4"/>
        <v>226</v>
      </c>
      <c r="H1961" s="4" t="str">
        <f t="shared" si="5"/>
        <v>Binh thuong</v>
      </c>
    </row>
    <row r="1962" ht="14.25" customHeight="1">
      <c r="A1962" s="4" t="s">
        <v>1979</v>
      </c>
      <c r="B1962" s="4">
        <v>1547.0</v>
      </c>
      <c r="C1962" s="4" t="s">
        <v>886</v>
      </c>
      <c r="D1962" s="4" t="str">
        <f t="shared" si="1"/>
        <v>MA3</v>
      </c>
      <c r="E1962" s="4">
        <f t="shared" si="2"/>
        <v>128.9166667</v>
      </c>
      <c r="F1962" s="4">
        <f t="shared" si="3"/>
        <v>42.97222222</v>
      </c>
      <c r="G1962" s="4">
        <f t="shared" si="4"/>
        <v>129</v>
      </c>
      <c r="H1962" s="4" t="str">
        <f t="shared" si="5"/>
        <v>Binh thuong</v>
      </c>
    </row>
  </sheetData>
  <autoFilter ref="$A$1:$C$1962">
    <sortState ref="A1:C1962">
      <sortCondition ref="C1:C1962"/>
      <sortCondition descending="1" ref="B1:B1962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